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Executive Summary" sheetId="1" state="visible" r:id="rId3"/>
    <sheet name="Revenue Model" sheetId="2" state="visible" r:id="rId4"/>
    <sheet name="Assumptions" sheetId="3" state="visible" r:id="rId5"/>
    <sheet name="Schedules" sheetId="4" state="visible" r:id="rId6"/>
    <sheet name="P&amp;L" sheetId="5" state="visible" r:id="rId7"/>
    <sheet name="Balance Sheet" sheetId="6" state="visible" r:id="rId8"/>
    <sheet name="CFS" sheetId="7" state="visible" r:id="rId9"/>
    <sheet name="FCFF" sheetId="8" state="visible" r:id="rId10"/>
    <sheet name="WACC" sheetId="9" state="visible" r:id="rId11"/>
    <sheet name="Model Checks" sheetId="10" state="visible" r:id="rId12"/>
    <sheet name="DCF Sensitivity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H4" authorId="0">
      <text>
        <r>
          <rPr>
            <sz val="10"/>
            <rFont val="Arial"/>
            <family val="2"/>
          </rPr>
          <t xml:space="preserve">Forecast volume assumption retained from the original model; volume growth is shown explicitly in the row below.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-193</xdr:colOff>
                <xdr:row>4</xdr:row>
                <xdr:rowOff>3</xdr:rowOff>
              </xdr:to>
            </anchor>
          </commentPr>
        </mc:Choice>
        <mc:Fallback/>
      </mc:AlternateContent>
    </comment>
    <comment ref="I4" authorId="0">
      <text>
        <r>
          <rPr>
            <sz val="10"/>
            <rFont val="Arial"/>
            <family val="2"/>
          </rPr>
          <t xml:space="preserve">Forecast volume assumption retained from the original model; volume growth is shown explicitly in the row below.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-193</xdr:colOff>
                <xdr:row>4</xdr:row>
                <xdr:rowOff>3</xdr:rowOff>
              </xdr:to>
            </anchor>
          </commentPr>
        </mc:Choice>
        <mc:Fallback/>
      </mc:AlternateContent>
    </comment>
    <comment ref="J4" authorId="0">
      <text>
        <r>
          <rPr>
            <sz val="10"/>
            <rFont val="Arial"/>
            <family val="2"/>
          </rPr>
          <t xml:space="preserve">Forecast volume assumption retained from the original model; volume growth is shown explicitly in the row below.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-193</xdr:colOff>
                <xdr:row>4</xdr:row>
                <xdr:rowOff>3</xdr:rowOff>
              </xdr:to>
            </anchor>
          </commentPr>
        </mc:Choice>
        <mc:Fallback/>
      </mc:AlternateContent>
    </comment>
    <comment ref="K4" authorId="0">
      <text>
        <r>
          <rPr>
            <sz val="10"/>
            <rFont val="Arial"/>
            <family val="2"/>
          </rPr>
          <t xml:space="preserve">Forecast volume assumption retained from the original model; volume growth is shown explicitly in the row below.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-193</xdr:colOff>
                <xdr:row>4</xdr:row>
                <xdr:rowOff>3</xdr:rowOff>
              </xdr:to>
            </anchor>
          </commentPr>
        </mc:Choice>
        <mc:Fallback/>
      </mc:AlternateContent>
    </comment>
    <comment ref="L4" authorId="0">
      <text>
        <r>
          <rPr>
            <sz val="10"/>
            <rFont val="Arial"/>
            <family val="2"/>
          </rPr>
          <t xml:space="preserve">Forecast volume assumption retained from the original model; volume growth is shown explicitly in the row below.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-193</xdr:colOff>
                <xdr:row>4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<sst xmlns="http://schemas.openxmlformats.org/spreadsheetml/2006/main" count="470" uniqueCount="348">
  <si>
    <t xml:space="preserve">Hero MotoCorp | Integrated 3-Statement + FCFF DCF Model</t>
  </si>
  <si>
    <t xml:space="preserve">Model status</t>
  </si>
  <si>
    <t xml:space="preserve">MODEL-CHECKED — forecast formula/reconciliation checks are zero; historical source-data discrepancies are disclosed below.</t>
  </si>
  <si>
    <t xml:space="preserve">Key valuation outputs</t>
  </si>
  <si>
    <t xml:space="preserve">WACC</t>
  </si>
  <si>
    <t xml:space="preserve">Terminal growth</t>
  </si>
  <si>
    <t xml:space="preserve">Enterprise value (Rs Cr)</t>
  </si>
  <si>
    <t xml:space="preserve">Equity value (Rs Cr)</t>
  </si>
  <si>
    <t xml:space="preserve">Intrinsic value/share (Rs)</t>
  </si>
  <si>
    <t xml:space="preserve">Reference market price (Rs)</t>
  </si>
  <si>
    <t xml:space="preserve">Model-implied upside/(downside)</t>
  </si>
  <si>
    <t xml:space="preserve">Key modelling diagnostics</t>
  </si>
  <si>
    <t xml:space="preserve">FY24 source BS discrepancy (Rs Cr)</t>
  </si>
  <si>
    <t xml:space="preserve">FY25 source BS discrepancy (Rs Cr)</t>
  </si>
  <si>
    <t xml:space="preserve">FY26E-FY30E FCFF CAGR</t>
  </si>
  <si>
    <t xml:space="preserve">Terminal value / Enterprise value</t>
  </si>
  <si>
    <t xml:space="preserve">FY30E sales volume (lakh units)</t>
  </si>
  <si>
    <t xml:space="preserve">FY25-FY30E revenue CAGR</t>
  </si>
  <si>
    <t xml:space="preserve">FY30E operating EBIT margin</t>
  </si>
  <si>
    <t xml:space="preserve">Historical D&amp;A schedule mismatches</t>
  </si>
  <si>
    <t xml:space="preserve">FY22: Rs 25.60 Cr; FY23: Rs 40.00 Cr versus reported P&amp;L D&amp;A.</t>
  </si>
  <si>
    <t xml:space="preserve">Transparency note</t>
  </si>
  <si>
    <t xml:space="preserve">FY24 and FY25 source balance sheets do not fully reconcile (Rs 20.90 Cr and Rs 11.60 Cr residuals). FY26E onward is normalized for the FY25 opening mismatch; no historical source figure is silently overwritten.</t>
  </si>
  <si>
    <t xml:space="preserve">Hero MotoCorp  |  Revenue Model</t>
  </si>
  <si>
    <t xml:space="preserve">All figures in Rs Crore unless stated</t>
  </si>
  <si>
    <t xml:space="preserve">Revenue driver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</si>
  <si>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</si>
  <si>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</si>
  <si>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</si>
  <si>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</si>
  <si>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</si>
  <si>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</si>
  <si>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</si>
  <si>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</si>
  <si>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</si>
  <si>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</si>
  <si>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Sales Volume (lakh units)</t>
  </si>
  <si>
    <t xml:space="preserve">FY30E volume is set at 119 lakh units in the model; the source note references 120 lakh units, but no 120-unit formula is used.</t>
  </si>
  <si>
    <t xml:space="preserve">Sales volume growth (%)</t>
  </si>
  <si>
    <t xml:space="preserve">Historical/forecast volume growth is calculated from the explicit volume assumptions.</t>
  </si>
  <si>
    <t xml:space="preserve">Realisation inflation factor (x)</t>
  </si>
  <si>
    <t xml:space="preserve">Revenue from operations</t>
  </si>
  <si>
    <t xml:space="preserve">Revenue = volume × blended realisation; forecast realisation grows by the explicit inflation factor.</t>
  </si>
  <si>
    <t xml:space="preserve">Other income</t>
  </si>
  <si>
    <t xml:space="preserve">Forecast using normalized FY23-FY25 other-income/revenue ratio.</t>
  </si>
  <si>
    <t xml:space="preserve">Total income</t>
  </si>
  <si>
    <t xml:space="preserve">Revenue split — domestic vs export</t>
  </si>
  <si>
    <t xml:space="preserve">Export volume (lakh units)</t>
  </si>
  <si>
    <t xml:space="preserve">Domestic volume (lakh units)</t>
  </si>
  <si>
    <t xml:space="preserve">Export share of volume (%)</t>
  </si>
  <si>
    <t xml:space="preserve">Realisation per vehicle (Rs)</t>
  </si>
  <si>
    <t xml:space="preserve">Domestic revenue</t>
  </si>
  <si>
    <t xml:space="preserve">Export revenue</t>
  </si>
  <si>
    <t xml:space="preserve">Total revenue (check = row 7)</t>
  </si>
  <si>
    <t xml:space="preserve">Modeling note</t>
  </si>
  <si>
    <t xml:space="preserve">Forecast volumes and realization factors are explicit model assumptions retained from the supplied workbook; revenue is built from volume × blended realization.</t>
  </si>
  <si>
    <t xml:space="preserve">Export Volume - the part and vehicle that are sold outside india</t>
  </si>
  <si>
    <t xml:space="preserve">Export volume represents two-wheeler units modelled as sold outside India.</t>
  </si>
  <si>
    <t xml:space="preserve">Hero MotoCorp  |  P&amp;L Assumptions</t>
  </si>
  <si>
    <t xml:space="preserve">Reason</t>
  </si>
  <si>
    <t xml:space="preserve">Years </t>
  </si>
  <si>
    <t xml:space="preserve">Cost of materials  (% of revenue)</t>
  </si>
  <si>
    <t xml:space="preserve">Normalized using FY23-FY25 average.</t>
  </si>
  <si>
    <t xml:space="preserve">Purchase of stock-in-trade  (% of revenue)</t>
  </si>
  <si>
    <t xml:space="preserve">Change in inventories  (% of revenue)</t>
  </si>
  <si>
    <t xml:space="preserve">Employee benefits  (% of revenue)</t>
  </si>
  <si>
    <t xml:space="preserve">Other expenses  (% of revenue)</t>
  </si>
  <si>
    <t xml:space="preserve">                                                             -/-</t>
  </si>
  <si>
    <t xml:space="preserve">Share of associates (Rs Cr)</t>
  </si>
  <si>
    <t xml:space="preserve">Effective tax rate (%)</t>
  </si>
  <si>
    <t xml:space="preserve">Normalized effective tax rate using FY23-FY25 average.</t>
  </si>
  <si>
    <t xml:space="preserve">Other income (% of revenue)</t>
  </si>
  <si>
    <t xml:space="preserve">Normalized at FY23-FY25 average; used to forecast non-operating other income.</t>
  </si>
  <si>
    <t xml:space="preserve">Forecast operating ratios and tax are normalized to FY23-FY25 averages to avoid rolling-average drift.</t>
  </si>
  <si>
    <t xml:space="preserve">Hero MotoCorp  |  Supporting Schedules</t>
  </si>
  <si>
    <t xml:space="preserve">Reasons </t>
  </si>
  <si>
    <t xml:space="preserve">Working Capital Schedule</t>
  </si>
  <si>
    <t xml:space="preserve">Current assets (excluding cash)</t>
  </si>
  <si>
    <t xml:space="preserve">Inventories</t>
  </si>
  <si>
    <t xml:space="preserve">Forecast inventory is driven by normalized inventory days applied to revenue.</t>
  </si>
  <si>
    <t xml:space="preserve">Investments (current)</t>
  </si>
  <si>
    <t xml:space="preserve">Trade receivables</t>
  </si>
  <si>
    <t xml:space="preserve">Bank balances (other than cash)</t>
  </si>
  <si>
    <t xml:space="preserve">Loans (current)</t>
  </si>
  <si>
    <t xml:space="preserve">Other financial assets (current)</t>
  </si>
  <si>
    <t xml:space="preserve">Other current assets</t>
  </si>
  <si>
    <t xml:space="preserve">Income tax assets (current)</t>
  </si>
  <si>
    <t xml:space="preserve">Total current assets (ex-cash)</t>
  </si>
  <si>
    <t xml:space="preserve">Current liabilities</t>
  </si>
  <si>
    <t xml:space="preserve">Borrowings (short-term)</t>
  </si>
  <si>
    <t xml:space="preserve"> values are extracted from revneue model</t>
  </si>
  <si>
    <t xml:space="preserve">Lease liabilities (short-term)</t>
  </si>
  <si>
    <t xml:space="preserve">Trade payables</t>
  </si>
  <si>
    <t xml:space="preserve">Other financial liabilities (current)</t>
  </si>
  <si>
    <t xml:space="preserve">Other current liabilities</t>
  </si>
  <si>
    <t xml:space="preserve">Provisions (current)</t>
  </si>
  <si>
    <t xml:space="preserve">Total current liabilities</t>
  </si>
  <si>
    <t xml:space="preserve">Operating net working capital</t>
  </si>
  <si>
    <t xml:space="preserve">Excludes cash, investments, loans, borrowings, lease liabilities and other financing-related balances.</t>
  </si>
  <si>
    <t xml:space="preserve">Change in operating net working capital</t>
  </si>
  <si>
    <t xml:space="preserve">Days of revenue (item x 365 / revenue)</t>
  </si>
  <si>
    <t xml:space="preserve">I have taken weighted average here and gave more important to recent data</t>
  </si>
  <si>
    <t xml:space="preserve">Trade payable days based on materials + stock-in-trade purchases + change in inventories.</t>
  </si>
  <si>
    <t xml:space="preserve">Debt Schedule</t>
  </si>
  <si>
    <t xml:space="preserve">Long-term borrowings</t>
  </si>
  <si>
    <t xml:space="preserve">Short-term borrowings</t>
  </si>
  <si>
    <t xml:space="preserve">Total borrowings</t>
  </si>
  <si>
    <t xml:space="preserve">Long-term lease liabilities</t>
  </si>
  <si>
    <t xml:space="preserve">Short-term lease liabilities</t>
  </si>
  <si>
    <t xml:space="preserve">Total lease liabilities</t>
  </si>
  <si>
    <t xml:space="preserve">Total debt &amp; lease obligations</t>
  </si>
  <si>
    <t xml:space="preserve">Total finance cost</t>
  </si>
  <si>
    <t xml:space="preserve">Effective finance rate (%)</t>
  </si>
  <si>
    <t xml:space="preserve">to avoid static problem used average method for close value</t>
  </si>
  <si>
    <t xml:space="preserve">New borrowing raised (10% of prior LT)</t>
  </si>
  <si>
    <t xml:space="preserve">Existing borrowing repaid (5% of prior LT)</t>
  </si>
  <si>
    <t xml:space="preserve">Net borrowing raised</t>
  </si>
  <si>
    <t xml:space="preserve">New lease added (10% of prior LT)</t>
  </si>
  <si>
    <t xml:space="preserve">Existing lease removed (5% of prior LT)</t>
  </si>
  <si>
    <t xml:space="preserve">Net lease added</t>
  </si>
  <si>
    <t xml:space="preserve">Capex / Fixed Asset Schedule</t>
  </si>
  <si>
    <t xml:space="preserve">Gross block - PP&amp;E</t>
  </si>
  <si>
    <t xml:space="preserve"> gross 2026= gross 2025 + capex 2026</t>
  </si>
  <si>
    <t xml:space="preserve">Accumulated dep/amort - PP&amp;E</t>
  </si>
  <si>
    <t xml:space="preserve">eq- 5 </t>
  </si>
  <si>
    <t xml:space="preserve">Net PP&amp;E</t>
  </si>
  <si>
    <t xml:space="preserve">Gross block - Intangibles</t>
  </si>
  <si>
    <t xml:space="preserve">using these formulas only</t>
  </si>
  <si>
    <t xml:space="preserve">Accumulated dep/amort - Intangibles</t>
  </si>
  <si>
    <t xml:space="preserve">Net Intangibles</t>
  </si>
  <si>
    <t xml:space="preserve">Gross block - ROU assets</t>
  </si>
  <si>
    <t xml:space="preserve">Accumulated dep/amort - ROU assets</t>
  </si>
  <si>
    <t xml:space="preserve">Net ROU assets</t>
  </si>
  <si>
    <t xml:space="preserve">Depreciation/amortisation - PP&amp;E</t>
  </si>
  <si>
    <t xml:space="preserve"> average value by multiplying it with 72 column data</t>
  </si>
  <si>
    <t xml:space="preserve">   dep % of gross - PP&amp;E</t>
  </si>
  <si>
    <t xml:space="preserve">Depreciation/amortisation - Intangibles</t>
  </si>
  <si>
    <t xml:space="preserve">same for all</t>
  </si>
  <si>
    <t xml:space="preserve">   dep % of gross - Intangibles</t>
  </si>
  <si>
    <t xml:space="preserve">Depreciation/amortisation - ROU assets</t>
  </si>
  <si>
    <t xml:space="preserve">   dep % of gross - ROU assets</t>
  </si>
  <si>
    <t xml:space="preserve">Total depreciation &amp; amortisation</t>
  </si>
  <si>
    <t xml:space="preserve">Maintenance capex - PP&amp;E</t>
  </si>
  <si>
    <t xml:space="preserve">using eqution</t>
  </si>
  <si>
    <t xml:space="preserve">Growth capex - PP&amp;E</t>
  </si>
  <si>
    <t xml:space="preserve">Total capex - PP&amp;E</t>
  </si>
  <si>
    <t xml:space="preserve">Maintenance capex - Intangibles</t>
  </si>
  <si>
    <t xml:space="preserve">Growth capex - Intangibles</t>
  </si>
  <si>
    <t xml:space="preserve">Total capex - Intangibles</t>
  </si>
  <si>
    <t xml:space="preserve">Maintenance capex - ROU assets</t>
  </si>
  <si>
    <t xml:space="preserve">Growth capex - ROU assets</t>
  </si>
  <si>
    <t xml:space="preserve">Total capex - ROU assets</t>
  </si>
  <si>
    <t xml:space="preserve">Total capex</t>
  </si>
  <si>
    <t xml:space="preserve">Growth capex factor (x maintenance)</t>
  </si>
  <si>
    <t xml:space="preserve">Formula is used</t>
  </si>
  <si>
    <t xml:space="preserve">Equations of Capex Schedule:</t>
  </si>
  <si>
    <t xml:space="preserve">Eq-1</t>
  </si>
  <si>
    <t xml:space="preserve">GLTA(26) = GLTA(25) + Capex(26)</t>
  </si>
  <si>
    <t xml:space="preserve">Eq-2</t>
  </si>
  <si>
    <t xml:space="preserve">Capex(26) = Maint Capex(26) + Growth Capex(26)</t>
  </si>
  <si>
    <t xml:space="preserve">Eq-3</t>
  </si>
  <si>
    <t xml:space="preserve">Maint Capex(26) = Dep Exp(25)</t>
  </si>
  <si>
    <t xml:space="preserve">Eq-4</t>
  </si>
  <si>
    <t xml:space="preserve">Growth Capex(26) = Management Commentary/ Grid</t>
  </si>
  <si>
    <t xml:space="preserve">Eq-5 </t>
  </si>
  <si>
    <t xml:space="preserve">Acc Dep(26) = Acc Dep(25) + Dep Exp(26)</t>
  </si>
  <si>
    <t xml:space="preserve">Eq-6</t>
  </si>
  <si>
    <t xml:space="preserve">Net Asset(26) = GLTA(26) - Acc Dep(26)</t>
  </si>
  <si>
    <t xml:space="preserve">Operating NWC excludes cash, investments, loans, borrowings and lease liabilities; non-operating balances are forecast separately.</t>
  </si>
  <si>
    <t xml:space="preserve">Hero MotoCorp  |  Profit &amp; Loss Statement</t>
  </si>
  <si>
    <t xml:space="preserve">All figures in Rs Crore</t>
  </si>
  <si>
    <t xml:space="preserve">P&amp;L Statement</t>
  </si>
  <si>
    <t xml:space="preserve">Income</t>
  </si>
  <si>
    <t xml:space="preserve">Linked directly to Revenue Model revenue from operations.</t>
  </si>
  <si>
    <t xml:space="preserve">Linked directly to Revenue Model other income.</t>
  </si>
  <si>
    <t xml:space="preserve">Expense</t>
  </si>
  <si>
    <t xml:space="preserve">Cost of materials consumed</t>
  </si>
  <si>
    <t xml:space="preserve">Purchase of stock-in-trade</t>
  </si>
  <si>
    <t xml:space="preserve">Change in inventories</t>
  </si>
  <si>
    <t xml:space="preserve">Excise duty</t>
  </si>
  <si>
    <t xml:space="preserve">Employee benefits expense</t>
  </si>
  <si>
    <t xml:space="preserve">Finance costs</t>
  </si>
  <si>
    <t xml:space="preserve">Depreciation &amp; amortisation</t>
  </si>
  <si>
    <t xml:space="preserve">Other expenses</t>
  </si>
  <si>
    <t xml:space="preserve">Total expense</t>
  </si>
  <si>
    <t xml:space="preserve">Profit before associates, exceptional &amp; tax</t>
  </si>
  <si>
    <t xml:space="preserve">Share of profit/(loss) of associates</t>
  </si>
  <si>
    <t xml:space="preserve">Profit before exceptional items &amp; tax</t>
  </si>
  <si>
    <t xml:space="preserve">Exceptional items</t>
  </si>
  <si>
    <t xml:space="preserve">Profit before tax</t>
  </si>
  <si>
    <t xml:space="preserve">Tax expense</t>
  </si>
  <si>
    <t xml:space="preserve">Current tax</t>
  </si>
  <si>
    <t xml:space="preserve">Adjustment of earlier periods</t>
  </si>
  <si>
    <t xml:space="preserve">Deferred tax charge/(credit)</t>
  </si>
  <si>
    <t xml:space="preserve">Net tax expense</t>
  </si>
  <si>
    <t xml:space="preserve">Profit for the year</t>
  </si>
  <si>
    <t xml:space="preserve">Memo:</t>
  </si>
  <si>
    <t xml:space="preserve">Operating EBIT (for DCF)</t>
  </si>
  <si>
    <t xml:space="preserve">Revenue less operating costs and D&amp;A; excludes other income, associate income and finance costs.</t>
  </si>
  <si>
    <t xml:space="preserve">Net profit margin (%)</t>
  </si>
  <si>
    <t xml:space="preserve">Operating EBIT margin (%)</t>
  </si>
  <si>
    <t xml:space="preserve">Operating EBIT / Revenue; consistent with the EBIT used in FCFF.</t>
  </si>
  <si>
    <t xml:space="preserve">Hero MotoCorp  |  Balance Sheet</t>
  </si>
  <si>
    <t xml:space="preserve">All figures are in crore</t>
  </si>
  <si>
    <t xml:space="preserve">ASSETS</t>
  </si>
  <si>
    <t xml:space="preserve">Non-current assets</t>
  </si>
  <si>
    <t xml:space="preserve">(a) Property, plant &amp; equipment</t>
  </si>
  <si>
    <t xml:space="preserve">(b) Capital work-in-progress</t>
  </si>
  <si>
    <t xml:space="preserve">(c) Right-of-use assets</t>
  </si>
  <si>
    <t xml:space="preserve">(d) Other intangible assets</t>
  </si>
  <si>
    <t xml:space="preserve">(e) Intangible assets under development</t>
  </si>
  <si>
    <t xml:space="preserve">(f) Investments in associates</t>
  </si>
  <si>
    <t xml:space="preserve">Financial assets</t>
  </si>
  <si>
    <t xml:space="preserve">   (i) Investments</t>
  </si>
  <si>
    <t xml:space="preserve">   (ii) Loans</t>
  </si>
  <si>
    <t xml:space="preserve">   (iii) Other financial assets</t>
  </si>
  <si>
    <t xml:space="preserve">(h) Income tax assets (net)</t>
  </si>
  <si>
    <t xml:space="preserve">(i) Other non-current assets</t>
  </si>
  <si>
    <t xml:space="preserve">Total non-current assets</t>
  </si>
  <si>
    <t xml:space="preserve">Current assets</t>
  </si>
  <si>
    <t xml:space="preserve">(a) Inventories</t>
  </si>
  <si>
    <t xml:space="preserve">   (ii) Trade receivables</t>
  </si>
  <si>
    <t xml:space="preserve">   (iii) Cash &amp; cash equivalents</t>
  </si>
  <si>
    <t xml:space="preserve">   (iv) Bank balances (other)</t>
  </si>
  <si>
    <t xml:space="preserve">   (v) Loans</t>
  </si>
  <si>
    <t xml:space="preserve">   (vi) Other financial assets</t>
  </si>
  <si>
    <t xml:space="preserve">(c) Other current assets</t>
  </si>
  <si>
    <t xml:space="preserve">(d) Income tax assets (net)</t>
  </si>
  <si>
    <t xml:space="preserve">Total current assets</t>
  </si>
  <si>
    <t xml:space="preserve">Total assets</t>
  </si>
  <si>
    <t xml:space="preserve">EQUITY &amp; LIABILITIES</t>
  </si>
  <si>
    <t xml:space="preserve">Equity</t>
  </si>
  <si>
    <t xml:space="preserve">(a) Equity share capital</t>
  </si>
  <si>
    <t xml:space="preserve">(b) Other equity</t>
  </si>
  <si>
    <t xml:space="preserve">FY26E includes a one-time Rs 11.60 Cr opening normalization to reconcile the FY25 source-model balance-sheet mismatch; subsequent years roll forward normally.</t>
  </si>
  <si>
    <t xml:space="preserve">Equity attributable to owners</t>
  </si>
  <si>
    <t xml:space="preserve">Non-controlling interests</t>
  </si>
  <si>
    <t xml:space="preserve">Total equity</t>
  </si>
  <si>
    <t xml:space="preserve">Non-current liabilities</t>
  </si>
  <si>
    <t xml:space="preserve">Financial liabilities</t>
  </si>
  <si>
    <t xml:space="preserve">   (i) Borrowings</t>
  </si>
  <si>
    <t xml:space="preserve">   (ii) Lease liabilities</t>
  </si>
  <si>
    <t xml:space="preserve">   (iii) Other financial liabilities</t>
  </si>
  <si>
    <t xml:space="preserve">(b) Provisions</t>
  </si>
  <si>
    <t xml:space="preserve">(c) Deferred tax liabilities (net)</t>
  </si>
  <si>
    <t xml:space="preserve">Total non-current liabilities</t>
  </si>
  <si>
    <t xml:space="preserve">   (iii) Trade payables</t>
  </si>
  <si>
    <t xml:space="preserve">   (iv) Other financial liabilities</t>
  </si>
  <si>
    <t xml:space="preserve">(b) Other current liabilities</t>
  </si>
  <si>
    <t xml:space="preserve">(c) Provisions</t>
  </si>
  <si>
    <t xml:space="preserve">Total equity &amp; liabilities</t>
  </si>
  <si>
    <t xml:space="preserve">Balancing check (Assets - E&amp;L)</t>
  </si>
  <si>
    <t xml:space="preserve">Hero MotoCorp  |  Cash Flow Statement (forecast)</t>
  </si>
  <si>
    <t xml:space="preserve">All figures in Rs Crore. Integrated cash flow; closing cash reconciles to the Balance Sheet.</t>
  </si>
  <si>
    <t xml:space="preserve">Cash Flow Statement</t>
  </si>
  <si>
    <t xml:space="preserve">Net profit</t>
  </si>
  <si>
    <t xml:space="preserve">Add: Finance costs</t>
  </si>
  <si>
    <t xml:space="preserve">Add: Depreciation &amp; amortisation</t>
  </si>
  <si>
    <t xml:space="preserve">Less: Change in net working capital</t>
  </si>
  <si>
    <t xml:space="preserve">Cash flow from operating activities</t>
  </si>
  <si>
    <t xml:space="preserve">Change in non-operating assets (net of associate non-cash profit)</t>
  </si>
  <si>
    <t xml:space="preserve">Less: Capital expenditure</t>
  </si>
  <si>
    <t xml:space="preserve">Cash flow from investing activities</t>
  </si>
  <si>
    <t xml:space="preserve">Change in equity (share capital)</t>
  </si>
  <si>
    <t xml:space="preserve">Net loans raised (long-term)</t>
  </si>
  <si>
    <t xml:space="preserve">Finance costs paid</t>
  </si>
  <si>
    <t xml:space="preserve">Dividend paid</t>
  </si>
  <si>
    <t xml:space="preserve">Cash flow from financing activities</t>
  </si>
  <si>
    <t xml:space="preserve">Closing cash &amp; cash equivalents (to Balance Sheet)</t>
  </si>
  <si>
    <t xml:space="preserve">  Net change in cash</t>
  </si>
  <si>
    <t xml:space="preserve">  Opening cash</t>
  </si>
  <si>
    <t xml:space="preserve">Cash flow reconciliation check</t>
  </si>
  <si>
    <t xml:space="preserve">Hero MotoCorp  |  FCFF &amp; DCF valuation</t>
  </si>
  <si>
    <t xml:space="preserve">Free cash flow to firm, discounted at WACC. All figures Rs Crore unless stated.</t>
  </si>
  <si>
    <t xml:space="preserve">Rs Crore</t>
  </si>
  <si>
    <t xml:space="preserve">EBIT</t>
  </si>
  <si>
    <t xml:space="preserve">Tax rate</t>
  </si>
  <si>
    <t xml:space="preserve">NOPAT  =  EBIT x (1 - tax)</t>
  </si>
  <si>
    <t xml:space="preserve">Free cash flow to firm (FCFF)</t>
  </si>
  <si>
    <t xml:space="preserve">Discount period (years)</t>
  </si>
  <si>
    <t xml:space="preserve">Discount factor  =  1/(1+WACC)^t</t>
  </si>
  <si>
    <t xml:space="preserve">PV of FCFF</t>
  </si>
  <si>
    <t xml:space="preserve">Sum of PV of FCFF (FY26E-FY30E)</t>
  </si>
  <si>
    <t xml:space="preserve">Terminal growth rate (g)</t>
  </si>
  <si>
    <t xml:space="preserve">Terminal growth is an explicit assumption; sensitivity analysis is provided because terminal value represents a large share of enterprise value.</t>
  </si>
  <si>
    <t xml:space="preserve">Terminal value at FY30  =  FCFF x (1+g)/(WACC-g)</t>
  </si>
  <si>
    <t xml:space="preserve">PV of terminal value</t>
  </si>
  <si>
    <t xml:space="preserve">Enterprise value</t>
  </si>
  <si>
    <t xml:space="preserve">Less: Debt + lease (FY25)</t>
  </si>
  <si>
    <t xml:space="preserve">Add: Cash + bank + current investments (FY25)</t>
  </si>
  <si>
    <t xml:space="preserve">Add: Non-current investments + associates (FY25)</t>
  </si>
  <si>
    <t xml:space="preserve">Non-current investments and associate carrying values are used as a conservative proxy for non-operating value.</t>
  </si>
  <si>
    <t xml:space="preserve">Equity value</t>
  </si>
  <si>
    <t xml:space="preserve">Shares outstanding (crore)</t>
  </si>
  <si>
    <t xml:space="preserve">Intrinsic value per share (Rs)</t>
  </si>
  <si>
    <t xml:space="preserve">Memo: current market price (Rs)</t>
  </si>
  <si>
    <t xml:space="preserve">Implied upside / (downside)</t>
  </si>
  <si>
    <t xml:space="preserve">Hero MotoCorp  |  WACC (weighted average cost of capital)</t>
  </si>
  <si>
    <t xml:space="preserve">Market inputs are carried from the supplied model; before publication, document the exact source/date for risk-free rate, beta, ERP and market price.</t>
  </si>
  <si>
    <t xml:space="preserve">Cost of equity (CAPM)</t>
  </si>
  <si>
    <t xml:space="preserve">Risk-free rate (India 10Y G-Sec)</t>
  </si>
  <si>
    <t xml:space="preserve">Beta (Hero MotoCorp)</t>
  </si>
  <si>
    <t xml:space="preserve">Model input; document the exact source and date before live/publication use.</t>
  </si>
  <si>
    <t xml:space="preserve">Equity risk premium (India)</t>
  </si>
  <si>
    <t xml:space="preserve">Cost of equity  =  Rf + Beta x ERP</t>
  </si>
  <si>
    <t xml:space="preserve">Cost of debt</t>
  </si>
  <si>
    <t xml:space="preserve">Pre-tax effective cost of debt + lease obligations (FY25)</t>
  </si>
  <si>
    <t xml:space="preserve">FY25 finance cost / average debt &amp; lease obligations.</t>
  </si>
  <si>
    <t xml:space="preserve">After-tax cost of debt  =  Kd x (1 - tax)</t>
  </si>
  <si>
    <t xml:space="preserve">Capital structure (market values)</t>
  </si>
  <si>
    <t xml:space="preserve">Share price (Rs)</t>
  </si>
  <si>
    <t xml:space="preserve">Shares outstanding (crore) [share capital / Rs 2 face]</t>
  </si>
  <si>
    <t xml:space="preserve">Derived from FY25 reported share capital and Rs 2 face value.</t>
  </si>
  <si>
    <t xml:space="preserve">Equity value / market cap (Rs Cr)</t>
  </si>
  <si>
    <t xml:space="preserve">Debt + lease (Rs Cr, FY25)</t>
  </si>
  <si>
    <t xml:space="preserve">Weight of equity</t>
  </si>
  <si>
    <t xml:space="preserve">Weight of debt</t>
  </si>
  <si>
    <t xml:space="preserve">WACC  =  We x Ke + Wd x Kd(after-tax)</t>
  </si>
  <si>
    <t xml:space="preserve">Hero MotoCorp | Model Checks</t>
  </si>
  <si>
    <t xml:space="preserve">Check</t>
  </si>
  <si>
    <t xml:space="preserve">Revenue model check (Total revenue - revenue)</t>
  </si>
  <si>
    <t xml:space="preserve">Balance sheet check (Assets - Equity &amp; Liabilities)</t>
  </si>
  <si>
    <t xml:space="preserve">Cash flow check (CFS closing cash - BS cash)</t>
  </si>
  <si>
    <t xml:space="preserve">FCFF formula check (FCFF - NOPAT - D&amp;A + Capex + Change NWC)</t>
  </si>
  <si>
    <t xml:space="preserve">FY25 source balance-sheet discrepancy</t>
  </si>
  <si>
    <t xml:space="preserve">Forecast normalization</t>
  </si>
  <si>
    <t xml:space="preserve">FY26E onward normalized by Rs 11.60 Cr opening discrepancy; this is a source-data reconciliation, not an operating assumption.</t>
  </si>
  <si>
    <t xml:space="preserve">Interpretation</t>
  </si>
  <si>
    <t xml:space="preserve">Forecast checks are zero. FY25 remains shown as a source-data discrepancy of Rs 11.60 Cr for transparency.</t>
  </si>
  <si>
    <t xml:space="preserve">WACC weights check (We + Wd - 100%)</t>
  </si>
  <si>
    <t xml:space="preserve">Terminal spread check (WACC - g)</t>
  </si>
  <si>
    <t xml:space="preserve">Equity bridge check</t>
  </si>
  <si>
    <t xml:space="preserve">Shares outstanding check</t>
  </si>
  <si>
    <t xml:space="preserve">Additional model integrity checks</t>
  </si>
  <si>
    <t xml:space="preserve">Rows 11–14 should be zero except the terminal spread check, which should remain positive; rows 17–18 document historical source/schedule differences.</t>
  </si>
  <si>
    <t xml:space="preserve">Historical balance-sheet check (Assets - Equity &amp; Liabilities)</t>
  </si>
  <si>
    <t xml:space="preserve">Historical D&amp;A schedule check (Schedule total - P&amp;L D&amp;A)</t>
  </si>
  <si>
    <t xml:space="preserve">Audit interpretation</t>
  </si>
  <si>
    <t xml:space="preserve">Forecast checks are zero. Historical BS residuals exist in FY24 and FY25; historical D&amp;A schedule totals differ from reported P&amp;L D&amp;A in FY22 and FY23.</t>
  </si>
  <si>
    <t xml:space="preserve">Valuation interpretation</t>
  </si>
  <si>
    <t xml:space="preserve">Terminal value is a large share of enterprise value; WACC, terminal growth, volume and realization assumptions materially drive the DCF output.</t>
  </si>
  <si>
    <t xml:space="preserve">Hero MotoCorp | DCF Sensitivity Analysis</t>
  </si>
  <si>
    <t xml:space="preserve">Intrinsic value per share (Rs) under alternative WACC and terminal growth assumptions.</t>
  </si>
  <si>
    <t xml:space="preserve">WACC \ Terminal g</t>
  </si>
  <si>
    <t xml:space="preserve">Base-case WACC</t>
  </si>
  <si>
    <t xml:space="preserve">Base-case terminal growth</t>
  </si>
  <si>
    <t xml:space="preserve">Note</t>
  </si>
  <si>
    <t xml:space="preserve">The DCF is highly sensitive to WACC and terminal growth; use the sensitivity table rather than relying on a single point estimate.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</si>
</sst>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.00"/>
    <numFmt numFmtId="167" formatCode="0.00"/>
    <numFmt numFmtId="168" formatCode="0.0%"/>
    <numFmt numFmtId="169" formatCode="\₹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theme="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0"/>
      <name val="Arial"/>
      <family val="2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C3D69B"/>
      </patternFill>
    </fill>
    <fill>
      <patternFill patternType="solid">
        <fgColor rgb="FFFFF2CC"/>
        <bgColor rgb="FFFFFFFF"/>
      </patternFill>
    </fill>
    <fill>
      <patternFill patternType="solid">
        <fgColor theme="3" tint="0.7999"/>
        <bgColor rgb="FFB9CDE5"/>
      </patternFill>
    </fill>
    <fill>
      <patternFill patternType="solid">
        <fgColor theme="4" tint="0.5999"/>
        <bgColor rgb="FFC6D9F1"/>
      </patternFill>
    </fill>
    <fill>
      <patternFill patternType="solid">
        <fgColor theme="6" tint="0.3999"/>
        <bgColor rgb="FFD7E4BD"/>
      </patternFill>
    </fill>
    <fill>
      <patternFill patternType="solid">
        <fgColor theme="3" tint="0.5999"/>
        <bgColor rgb="FFB7B7B7"/>
      </patternFill>
    </fill>
    <fill>
      <patternFill patternType="solid">
        <fgColor theme="9" tint="0.3999"/>
        <bgColor rgb="FFE6B9B8"/>
      </patternFill>
    </fill>
    <fill>
      <patternFill patternType="solid">
        <fgColor theme="7" tint="0.5999"/>
        <bgColor rgb="FFB9CDE5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8EB4E3"/>
      <rgbColor rgb="FF993366"/>
      <rgbColor rgb="FFFFF2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C3D69B"/>
      <rgbColor rgb="FFB9CDE5"/>
      <rgbColor rgb="FFE6B9B8"/>
      <rgbColor rgb="FFCCC1DA"/>
      <rgbColor rgb="FFFAC09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5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1" t="s">
        <v>1</v>
      </c>
      <c r="B3" s="3" t="s">
        <v>2</v>
      </c>
    </row>
    <row r="5" customFormat="false" ht="15" hidden="false" customHeight="true" outlineLevel="0" collapsed="false">
      <c r="A5" s="4" t="s">
        <v>3</v>
      </c>
      <c r="B5" s="5"/>
    </row>
    <row r="6" customFormat="false" ht="15" hidden="false" customHeight="true" outlineLevel="0" collapsed="false">
      <c r="A6" s="1" t="s">
        <v>4</v>
      </c>
      <c r="B6" s="6" t="n">
        <f aca="false">WACC!C23</f>
        <v>0.102321977122056</v>
      </c>
    </row>
    <row r="7" customFormat="false" ht="15" hidden="false" customHeight="true" outlineLevel="0" collapsed="false">
      <c r="A7" s="1" t="s">
        <v>5</v>
      </c>
      <c r="B7" s="6" t="n">
        <f aca="false">FCFF!C17</f>
        <v>0.05</v>
      </c>
    </row>
    <row r="8" customFormat="false" ht="15" hidden="false" customHeight="true" outlineLevel="0" collapsed="false">
      <c r="A8" s="1" t="s">
        <v>6</v>
      </c>
      <c r="B8" s="7" t="n">
        <f aca="false">FCFF!C20</f>
        <v>156036.836818728</v>
      </c>
    </row>
    <row r="9" customFormat="false" ht="15" hidden="false" customHeight="true" outlineLevel="0" collapsed="false">
      <c r="A9" s="1" t="s">
        <v>7</v>
      </c>
      <c r="B9" s="7" t="n">
        <f aca="false">FCFF!C25</f>
        <v>170283.646818728</v>
      </c>
    </row>
    <row r="10" customFormat="false" ht="15" hidden="false" customHeight="true" outlineLevel="0" collapsed="false">
      <c r="A10" s="1" t="s">
        <v>8</v>
      </c>
      <c r="B10" s="7" t="n">
        <f aca="false">FCFF!C27</f>
        <v>8514.18234093639</v>
      </c>
    </row>
    <row r="11" customFormat="false" ht="15" hidden="false" customHeight="true" outlineLevel="0" collapsed="false">
      <c r="A11" s="1" t="s">
        <v>9</v>
      </c>
      <c r="B11" s="7" t="n">
        <f aca="false">FCFF!C29</f>
        <v>5000</v>
      </c>
    </row>
    <row r="12" customFormat="false" ht="15" hidden="false" customHeight="true" outlineLevel="0" collapsed="false">
      <c r="A12" s="1" t="s">
        <v>10</v>
      </c>
      <c r="B12" s="6" t="n">
        <f aca="false">FCFF!C30</f>
        <v>0.702836468187278</v>
      </c>
    </row>
    <row r="13" customFormat="false" ht="15" hidden="false" customHeight="true" outlineLevel="0" collapsed="false">
      <c r="B13" s="6"/>
    </row>
    <row r="15" customFormat="false" ht="15" hidden="false" customHeight="true" outlineLevel="0" collapsed="false">
      <c r="A15" s="4" t="s">
        <v>11</v>
      </c>
      <c r="B15" s="5"/>
    </row>
    <row r="16" customFormat="false" ht="15" hidden="false" customHeight="true" outlineLevel="0" collapsed="false">
      <c r="A16" s="1" t="s">
        <v>12</v>
      </c>
      <c r="B16" s="8" t="n">
        <f aca="false">'Balance Sheet'!F57</f>
        <v>-20.8999999999978</v>
      </c>
    </row>
    <row r="17" customFormat="false" ht="15" hidden="false" customHeight="true" outlineLevel="0" collapsed="false">
      <c r="A17" s="1" t="s">
        <v>13</v>
      </c>
      <c r="B17" s="6" t="n">
        <f aca="false">'Balance Sheet'!G57</f>
        <v>-11.5999999999985</v>
      </c>
    </row>
    <row r="18" customFormat="false" ht="15" hidden="false" customHeight="true" outlineLevel="0" collapsed="false">
      <c r="A18" s="1" t="s">
        <v>14</v>
      </c>
      <c r="B18" s="6" t="n">
        <f aca="false">(FCFF!G10/FCFF!C10)^(1/4)-1</f>
        <v>0.220983246207284</v>
      </c>
    </row>
    <row r="19" customFormat="false" ht="15" hidden="false" customHeight="true" outlineLevel="0" collapsed="false">
      <c r="A19" s="1" t="s">
        <v>15</v>
      </c>
      <c r="B19" s="8" t="n">
        <f aca="false">FCFF!C19/FCFF!C20</f>
        <v>0.832513459155367</v>
      </c>
    </row>
    <row r="20" customFormat="false" ht="15" hidden="false" customHeight="true" outlineLevel="0" collapsed="false">
      <c r="A20" s="1" t="s">
        <v>16</v>
      </c>
      <c r="B20" s="9" t="n">
        <f aca="false">'Revenue Model'!L4</f>
        <v>119</v>
      </c>
    </row>
    <row r="21" customFormat="false" ht="15" hidden="false" customHeight="true" outlineLevel="0" collapsed="false">
      <c r="A21" s="1" t="s">
        <v>17</v>
      </c>
      <c r="B21" s="9" t="n">
        <f aca="false">('Revenue Model'!L7/'Revenue Model'!G7)^(1/5)-1</f>
        <v>0.221969701234754</v>
      </c>
    </row>
    <row r="22" customFormat="false" ht="15" hidden="false" customHeight="false" outlineLevel="0" collapsed="false">
      <c r="A22" s="1" t="s">
        <v>18</v>
      </c>
      <c r="B22" s="9" t="n">
        <f aca="false">'P&amp;L'!L37</f>
        <v>0.124938577727241</v>
      </c>
    </row>
    <row r="23" customFormat="false" ht="27.75" hidden="false" customHeight="true" outlineLevel="0" collapsed="false">
      <c r="A23" s="1" t="s">
        <v>19</v>
      </c>
      <c r="B23" s="3" t="s">
        <v>20</v>
      </c>
    </row>
    <row r="25" customFormat="false" ht="41.25" hidden="false" customHeight="true" outlineLevel="0" collapsed="false">
      <c r="A25" s="1" t="s">
        <v>21</v>
      </c>
      <c r="B25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27" activeCellId="0" sqref="A27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56.2"/>
    <col collapsed="false" customWidth="true" hidden="false" outlineLevel="0" max="2" min="2" style="1" width="18"/>
    <col collapsed="false" customWidth="true" hidden="false" outlineLevel="0" max="12" min="3" style="1" width="11"/>
    <col collapsed="false" customWidth="true" hidden="false" outlineLevel="0" max="13" min="13" style="1" width="65.73"/>
  </cols>
  <sheetData>
    <row r="1" customFormat="false" ht="15.75" hidden="false" customHeight="true" outlineLevel="0" collapsed="false">
      <c r="A1" s="10" t="s">
        <v>23</v>
      </c>
    </row>
    <row r="2" customFormat="false" ht="14.25" hidden="false" customHeight="true" outlineLevel="0" collapsed="false">
      <c r="A2" s="11" t="s">
        <v>24</v>
      </c>
    </row>
    <row r="3" customFormat="false" ht="14.25" hidden="false" customHeight="true" outlineLevel="0" collapsed="false">
      <c r="A3" s="12" t="s">
        <v>25</v>
      </c>
      <c r="C3" s="12" t="s">
        <v>26</v>
      </c>
      <c r="D3" s="12" t="s">
        <v>27</v>
      </c>
      <c r="E3" s="12" t="s">
        <v>28</v>
      </c>
      <c r="F3" s="12" t="s">
        <v>29</v>
      </c>
      <c r="G3" s="12" t="s">
        <v>30</v>
      </c>
      <c r="H3" s="12" t="s">
        <v>31</v>
      </c>
      <c r="I3" s="12" t="s">
        <v>32</v>
      </c>
      <c r="J3" s="12" t="s">
        <v>33</v>
      </c>
      <c r="K3" s="12" t="s">
        <v>34</v>
      </c>
      <c r="L3" s="12" t="s">
        <v>35</v>
      </c>
    </row>
    <row r="4" customFormat="false" ht="14.25" hidden="false" customHeight="true" outlineLevel="0" collapsed="false">
      <c r="A4" s="13" t="s">
        <v>36</v>
      </c>
      <c r="C4" s="14" t="n">
        <v>58</v>
      </c>
      <c r="D4" s="14" t="n">
        <v>49</v>
      </c>
      <c r="E4" s="14" t="n">
        <v>53</v>
      </c>
      <c r="F4" s="14" t="n">
        <v>56</v>
      </c>
      <c r="G4" s="14" t="n">
        <v>59</v>
      </c>
      <c r="H4" s="15" t="n">
        <v>68</v>
      </c>
      <c r="I4" s="15" t="n">
        <v>78</v>
      </c>
      <c r="J4" s="15" t="n">
        <v>89</v>
      </c>
      <c r="K4" s="15" t="n">
        <v>103</v>
      </c>
      <c r="L4" s="15" t="n">
        <v>119</v>
      </c>
      <c r="M4" s="1" t="s">
        <v>37</v>
      </c>
    </row>
    <row r="5" customFormat="false" ht="14.25" hidden="false" customHeight="true" outlineLevel="0" collapsed="false">
      <c r="A5" s="13" t="s">
        <v>38</v>
      </c>
      <c r="D5" s="16" t="n">
        <f aca="false">(D4-C4)/C4</f>
        <v>-0.155172413793103</v>
      </c>
      <c r="E5" s="16" t="n">
        <f aca="false">(E4-D4)/D4</f>
        <v>0.0816326530612245</v>
      </c>
      <c r="F5" s="16" t="n">
        <f aca="false">(F4-E4)/E4</f>
        <v>0.0566037735849057</v>
      </c>
      <c r="G5" s="16" t="n">
        <f aca="false">(G4-F4)/F4</f>
        <v>0.0535714285714286</v>
      </c>
      <c r="H5" s="16" t="n">
        <f aca="false">(H4-G4)/G4</f>
        <v>0.152542372881356</v>
      </c>
      <c r="I5" s="16" t="n">
        <f aca="false">(I4-H4)/H4</f>
        <v>0.147058823529412</v>
      </c>
      <c r="J5" s="16" t="n">
        <f aca="false">(J4-I4)/I4</f>
        <v>0.141025641025641</v>
      </c>
      <c r="K5" s="16" t="n">
        <f aca="false">(K4-J4)/J4</f>
        <v>0.157303370786517</v>
      </c>
      <c r="L5" s="16" t="n">
        <f aca="false">(L4-K4)/K4</f>
        <v>0.155339805825243</v>
      </c>
      <c r="M5" s="1" t="s">
        <v>39</v>
      </c>
    </row>
    <row r="6" customFormat="false" ht="14.25" hidden="false" customHeight="true" outlineLevel="0" collapsed="false">
      <c r="A6" s="13" t="s">
        <v>40</v>
      </c>
      <c r="H6" s="15" t="n">
        <v>1.07</v>
      </c>
      <c r="I6" s="15" t="n">
        <v>1.06</v>
      </c>
      <c r="J6" s="15" t="n">
        <v>1.06</v>
      </c>
      <c r="K6" s="15" t="n">
        <v>1.06</v>
      </c>
      <c r="L6" s="15" t="n">
        <v>1.06</v>
      </c>
    </row>
    <row r="7" customFormat="false" ht="14.25" hidden="false" customHeight="true" outlineLevel="0" collapsed="false">
      <c r="A7" s="17" t="s">
        <v>41</v>
      </c>
      <c r="B7" s="18"/>
      <c r="C7" s="19" t="n">
        <v>30959.19</v>
      </c>
      <c r="D7" s="19" t="n">
        <v>29551.28</v>
      </c>
      <c r="E7" s="19" t="n">
        <v>34158.38</v>
      </c>
      <c r="F7" s="19" t="n">
        <v>37788.62</v>
      </c>
      <c r="G7" s="19" t="n">
        <v>40923.42</v>
      </c>
      <c r="H7" s="20" t="n">
        <f aca="false">H4*H16/100</f>
        <v>50467.5938847458</v>
      </c>
      <c r="I7" s="20" t="n">
        <f aca="false">I4*I16/100</f>
        <v>61362.6567998644</v>
      </c>
      <c r="J7" s="20" t="n">
        <f aca="false">J4*J16/100</f>
        <v>74217.3466987078</v>
      </c>
      <c r="K7" s="20" t="n">
        <f aca="false">K4*K16/100</f>
        <v>91045.5046355609</v>
      </c>
      <c r="L7" s="20" t="n">
        <f aca="false">L4*L16/100</f>
        <v>111499.805385725</v>
      </c>
      <c r="M7" s="1" t="s">
        <v>42</v>
      </c>
    </row>
    <row r="8" customFormat="false" ht="14.25" hidden="false" customHeight="true" outlineLevel="0" collapsed="false">
      <c r="A8" s="13" t="s">
        <v>43</v>
      </c>
      <c r="C8" s="14" t="n">
        <v>557.9</v>
      </c>
      <c r="D8" s="14" t="n">
        <v>555.01</v>
      </c>
      <c r="E8" s="14" t="n">
        <v>569.01</v>
      </c>
      <c r="F8" s="14" t="n">
        <v>854.54</v>
      </c>
      <c r="G8" s="14" t="n">
        <v>1044.08</v>
      </c>
      <c r="H8" s="21" t="n">
        <f aca="false">H7*Assumptions!H12</f>
        <v>1089.84259153378</v>
      </c>
      <c r="I8" s="21" t="n">
        <f aca="false">I7*Assumptions!I12</f>
        <v>1325.1203745296</v>
      </c>
      <c r="J8" s="21" t="n">
        <f aca="false">J7*Assumptions!J12</f>
        <v>1602.7161042708</v>
      </c>
      <c r="K8" s="21" t="n">
        <f aca="false">K7*Assumptions!K12</f>
        <v>1966.11847487962</v>
      </c>
      <c r="L8" s="21" t="n">
        <f aca="false">L7*Assumptions!L12</f>
        <v>2407.82703321665</v>
      </c>
      <c r="M8" s="1" t="s">
        <v>44</v>
      </c>
    </row>
    <row r="9" customFormat="false" ht="14.25" hidden="false" customHeight="true" outlineLevel="0" collapsed="false">
      <c r="A9" s="22" t="s">
        <v>45</v>
      </c>
      <c r="B9" s="18"/>
      <c r="C9" s="23" t="n">
        <f aca="false">SUM(C7:C8)</f>
        <v>31517.09</v>
      </c>
      <c r="D9" s="23" t="n">
        <f aca="false">SUM(D7:D8)</f>
        <v>30106.29</v>
      </c>
      <c r="E9" s="23" t="n">
        <f aca="false">SUM(E7:E8)</f>
        <v>34727.39</v>
      </c>
      <c r="F9" s="23" t="n">
        <f aca="false">SUM(F7:F8)</f>
        <v>38643.16</v>
      </c>
      <c r="G9" s="23" t="n">
        <f aca="false">SUM(G7:G8)</f>
        <v>41967.5</v>
      </c>
      <c r="H9" s="23" t="n">
        <f aca="false">SUM(H7:H8)</f>
        <v>51557.4364762795</v>
      </c>
      <c r="I9" s="23" t="n">
        <f aca="false">SUM(I7:I8)</f>
        <v>62687.777174394</v>
      </c>
      <c r="J9" s="23" t="n">
        <f aca="false">SUM(J7:J8)</f>
        <v>75820.0628029786</v>
      </c>
      <c r="K9" s="23" t="n">
        <f aca="false">SUM(K7:K8)</f>
        <v>93011.6231104405</v>
      </c>
      <c r="L9" s="23" t="n">
        <f aca="false">SUM(L7:L8)</f>
        <v>113907.632418941</v>
      </c>
    </row>
    <row r="11" customFormat="false" ht="14.25" hidden="false" customHeight="true" outlineLevel="0" collapsed="false">
      <c r="A11" s="24" t="s">
        <v>46</v>
      </c>
    </row>
    <row r="12" customFormat="false" ht="14.25" hidden="false" customHeight="true" outlineLevel="0" collapsed="false">
      <c r="A12" s="25"/>
    </row>
    <row r="13" customFormat="false" ht="14.25" hidden="false" customHeight="true" outlineLevel="0" collapsed="false">
      <c r="A13" s="13" t="s">
        <v>47</v>
      </c>
      <c r="C13" s="14" t="n">
        <v>1.6</v>
      </c>
      <c r="D13" s="14" t="n">
        <v>2.2</v>
      </c>
      <c r="E13" s="14" t="n">
        <v>1.73</v>
      </c>
      <c r="F13" s="14" t="n">
        <v>2.01</v>
      </c>
      <c r="G13" s="14" t="n">
        <v>2.87</v>
      </c>
      <c r="H13" s="21" t="n">
        <f aca="false">H4*H15</f>
        <v>2.77018752327856</v>
      </c>
      <c r="I13" s="21" t="n">
        <f aca="false">I4*I15</f>
        <v>3.29407054393563</v>
      </c>
      <c r="J13" s="21" t="n">
        <f aca="false">J4*J15</f>
        <v>3.63404163091962</v>
      </c>
      <c r="K13" s="21" t="n">
        <f aca="false">K4*K15</f>
        <v>4.2775664276485</v>
      </c>
      <c r="L13" s="21" t="n">
        <f aca="false">L4*L15</f>
        <v>5.00072109125297</v>
      </c>
    </row>
    <row r="14" customFormat="false" ht="14.25" hidden="false" customHeight="true" outlineLevel="0" collapsed="false">
      <c r="A14" s="13" t="s">
        <v>48</v>
      </c>
      <c r="C14" s="21" t="n">
        <f aca="false">C4-C13</f>
        <v>56.4</v>
      </c>
      <c r="D14" s="21" t="n">
        <f aca="false">D4-D13</f>
        <v>46.8</v>
      </c>
      <c r="E14" s="21" t="n">
        <f aca="false">E4-E13</f>
        <v>51.27</v>
      </c>
      <c r="F14" s="21" t="n">
        <f aca="false">F4-F13</f>
        <v>53.99</v>
      </c>
      <c r="G14" s="21" t="n">
        <f aca="false">G4-G13</f>
        <v>56.13</v>
      </c>
      <c r="H14" s="21" t="n">
        <f aca="false">H4-H13</f>
        <v>65.2298124767215</v>
      </c>
      <c r="I14" s="21" t="n">
        <f aca="false">I4-I13</f>
        <v>74.7059294560644</v>
      </c>
      <c r="J14" s="21" t="n">
        <f aca="false">J4-J13</f>
        <v>85.3659583690804</v>
      </c>
      <c r="K14" s="21" t="n">
        <f aca="false">K4-K13</f>
        <v>98.7224335723515</v>
      </c>
      <c r="L14" s="21" t="n">
        <f aca="false">L4-L13</f>
        <v>113.999278908747</v>
      </c>
    </row>
    <row r="15" customFormat="false" ht="14.25" hidden="false" customHeight="true" outlineLevel="0" collapsed="false">
      <c r="A15" s="13" t="s">
        <v>49</v>
      </c>
      <c r="C15" s="14" t="n">
        <f aca="false">C13/C4</f>
        <v>0.0275862068965517</v>
      </c>
      <c r="D15" s="14" t="n">
        <f aca="false">D13/D4</f>
        <v>0.0448979591836735</v>
      </c>
      <c r="E15" s="14" t="n">
        <f aca="false">E13/E4</f>
        <v>0.0326415094339623</v>
      </c>
      <c r="F15" s="14" t="n">
        <f aca="false">F13/F4</f>
        <v>0.0358928571428571</v>
      </c>
      <c r="G15" s="14" t="n">
        <f aca="false">G13/G4</f>
        <v>0.0486440677966102</v>
      </c>
      <c r="H15" s="21" t="n">
        <f aca="false">G15*0.4+F15*0.3+E15*0.1+D15*0.1+C15*0.1</f>
        <v>0.04073805181292</v>
      </c>
      <c r="I15" s="21" t="n">
        <f aca="false">H15*0.4+G15*0.3+F15*0.1+E15*0.1+D15*0.1</f>
        <v>0.0422316736402003</v>
      </c>
      <c r="J15" s="21" t="n">
        <f aca="false">I15*0.4+H15*0.3+G15*0.1+F15*0.1+E15*0.1</f>
        <v>0.0408319284372991</v>
      </c>
      <c r="K15" s="21" t="n">
        <f aca="false">J15*0.4+I15*0.3+H15*0.1+G15*0.1+F15*0.1</f>
        <v>0.0415297711422185</v>
      </c>
      <c r="L15" s="21" t="n">
        <f aca="false">K15*0.4+J15*0.3+I15*0.1+H15*0.1+G15*0.1</f>
        <v>0.0420228663130502</v>
      </c>
    </row>
    <row r="16" customFormat="false" ht="14.25" hidden="false" customHeight="true" outlineLevel="0" collapsed="false">
      <c r="A16" s="13" t="s">
        <v>50</v>
      </c>
      <c r="C16" s="21" t="n">
        <f aca="false">C7/C4*100</f>
        <v>53377.9137931035</v>
      </c>
      <c r="D16" s="21" t="n">
        <f aca="false">D7/D4*100</f>
        <v>60308.7346938775</v>
      </c>
      <c r="E16" s="21" t="n">
        <f aca="false">E7/E4*100</f>
        <v>64449.7735849057</v>
      </c>
      <c r="F16" s="21" t="n">
        <f aca="false">F7/F4*100</f>
        <v>67479.6785714286</v>
      </c>
      <c r="G16" s="21" t="n">
        <f aca="false">G7/G4*100</f>
        <v>69361.7288135593</v>
      </c>
      <c r="H16" s="21" t="n">
        <f aca="false">G16*H6</f>
        <v>74217.0498305085</v>
      </c>
      <c r="I16" s="21" t="n">
        <f aca="false">H16*I6</f>
        <v>78670.072820339</v>
      </c>
      <c r="J16" s="21" t="n">
        <f aca="false">I16*J6</f>
        <v>83390.2771895593</v>
      </c>
      <c r="K16" s="21" t="n">
        <f aca="false">J16*K6</f>
        <v>88393.6938209329</v>
      </c>
      <c r="L16" s="21" t="n">
        <f aca="false">K16*L6</f>
        <v>93697.3154501889</v>
      </c>
    </row>
    <row r="17" customFormat="false" ht="14.25" hidden="false" customHeight="true" outlineLevel="0" collapsed="false">
      <c r="A17" s="24" t="s">
        <v>51</v>
      </c>
      <c r="C17" s="21" t="n">
        <f aca="false">C16*C14/100</f>
        <v>30105.1433793103</v>
      </c>
      <c r="D17" s="21" t="n">
        <f aca="false">D16*D14/100</f>
        <v>28224.4878367347</v>
      </c>
      <c r="E17" s="21" t="n">
        <f aca="false">E16*E14/100</f>
        <v>33043.3989169811</v>
      </c>
      <c r="F17" s="21" t="n">
        <f aca="false">F16*F14/100</f>
        <v>36432.2784607143</v>
      </c>
      <c r="G17" s="21" t="n">
        <f aca="false">G16*G14/100</f>
        <v>38932.7383830509</v>
      </c>
      <c r="H17" s="21" t="n">
        <f aca="false">H16*H14/100</f>
        <v>48411.6424301956</v>
      </c>
      <c r="I17" s="21" t="n">
        <f aca="false">I16*I14/100</f>
        <v>58771.2091041969</v>
      </c>
      <c r="J17" s="21" t="n">
        <f aca="false">J16*J14/100</f>
        <v>71186.9093094999</v>
      </c>
      <c r="K17" s="21" t="n">
        <f aca="false">K16*K14/100</f>
        <v>87264.4056645182</v>
      </c>
      <c r="L17" s="21" t="n">
        <f aca="false">L16*L14/100</f>
        <v>106814.263970069</v>
      </c>
    </row>
    <row r="18" customFormat="false" ht="14.25" hidden="false" customHeight="true" outlineLevel="0" collapsed="false">
      <c r="A18" s="24" t="s">
        <v>52</v>
      </c>
      <c r="C18" s="21" t="n">
        <f aca="false">C16*C13/100</f>
        <v>854.046620689655</v>
      </c>
      <c r="D18" s="21" t="n">
        <f aca="false">D16*D13/100</f>
        <v>1326.79216326531</v>
      </c>
      <c r="E18" s="21" t="n">
        <f aca="false">E16*E13/100</f>
        <v>1114.98108301887</v>
      </c>
      <c r="F18" s="21" t="n">
        <f aca="false">F16*F13/100</f>
        <v>1356.34153928571</v>
      </c>
      <c r="G18" s="21" t="n">
        <f aca="false">G16*G13/100</f>
        <v>1990.68161694915</v>
      </c>
      <c r="H18" s="21" t="n">
        <f aca="false">H16*H13/100</f>
        <v>2055.95145455017</v>
      </c>
      <c r="I18" s="21" t="n">
        <f aca="false">I16*I13/100</f>
        <v>2591.44769566749</v>
      </c>
      <c r="J18" s="21" t="n">
        <f aca="false">J16*J13/100</f>
        <v>3030.43738920785</v>
      </c>
      <c r="K18" s="21" t="n">
        <f aca="false">K16*K13/100</f>
        <v>3781.09897104263</v>
      </c>
      <c r="L18" s="21" t="n">
        <f aca="false">L16*L13/100</f>
        <v>4685.54141565542</v>
      </c>
    </row>
    <row r="19" customFormat="false" ht="14.25" hidden="false" customHeight="true" outlineLevel="0" collapsed="false">
      <c r="A19" s="22" t="s">
        <v>53</v>
      </c>
      <c r="B19" s="18"/>
      <c r="C19" s="23" t="n">
        <f aca="false">SUM(C17:C18)</f>
        <v>30959.19</v>
      </c>
      <c r="D19" s="23" t="n">
        <f aca="false">SUM(D17:D18)</f>
        <v>29551.28</v>
      </c>
      <c r="E19" s="23" t="n">
        <f aca="false">SUM(E17:E18)</f>
        <v>34158.38</v>
      </c>
      <c r="F19" s="23" t="n">
        <f aca="false">SUM(F17:F18)</f>
        <v>37788.62</v>
      </c>
      <c r="G19" s="23" t="n">
        <f aca="false">SUM(G17:G18)</f>
        <v>40923.42</v>
      </c>
      <c r="H19" s="23" t="n">
        <f aca="false">SUM(H17:H18)</f>
        <v>50467.5938847458</v>
      </c>
      <c r="I19" s="23" t="n">
        <f aca="false">SUM(I17:I18)</f>
        <v>61362.6567998644</v>
      </c>
      <c r="J19" s="23" t="n">
        <f aca="false">SUM(J17:J18)</f>
        <v>74217.3466987078</v>
      </c>
      <c r="K19" s="23" t="n">
        <f aca="false">SUM(K17:K18)</f>
        <v>91045.5046355609</v>
      </c>
      <c r="L19" s="23" t="n">
        <f aca="false">SUM(L17:L18)</f>
        <v>111499.805385725</v>
      </c>
    </row>
    <row r="21" customFormat="false" ht="162" hidden="false" customHeight="true" outlineLevel="0" collapsed="false">
      <c r="A21" s="1" t="s">
        <v>54</v>
      </c>
      <c r="B21" s="3" t="s">
        <v>55</v>
      </c>
    </row>
    <row r="22" customFormat="false" ht="14.25" hidden="false" customHeight="true" outlineLevel="0" collapsed="false">
      <c r="A22" s="1" t="s">
        <v>56</v>
      </c>
      <c r="M22" s="1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M2" activeCellId="0" sqref="M2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12" min="3" style="1" width="11"/>
    <col collapsed="false" customWidth="true" hidden="false" outlineLevel="0" max="13" min="13" style="1" width="68.06"/>
  </cols>
  <sheetData>
    <row r="1" customFormat="false" ht="15.75" hidden="false" customHeight="true" outlineLevel="0" collapsed="false">
      <c r="A1" s="10" t="s">
        <v>58</v>
      </c>
      <c r="M1" s="1" t="s">
        <v>59</v>
      </c>
    </row>
    <row r="2" customFormat="false" ht="14.25" hidden="false" customHeight="true" outlineLevel="0" collapsed="false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customFormat="false" ht="14.25" hidden="false" customHeight="true" outlineLevel="0" collapsed="false">
      <c r="A3" s="12" t="s">
        <v>60</v>
      </c>
      <c r="B3" s="27"/>
      <c r="C3" s="12" t="s">
        <v>26</v>
      </c>
      <c r="D3" s="12" t="s">
        <v>27</v>
      </c>
      <c r="E3" s="12" t="s">
        <v>28</v>
      </c>
      <c r="F3" s="12" t="s">
        <v>29</v>
      </c>
      <c r="G3" s="12" t="s">
        <v>30</v>
      </c>
      <c r="H3" s="12" t="s">
        <v>31</v>
      </c>
      <c r="I3" s="12" t="s">
        <v>32</v>
      </c>
      <c r="J3" s="12" t="s">
        <v>33</v>
      </c>
      <c r="K3" s="12" t="s">
        <v>34</v>
      </c>
      <c r="L3" s="12" t="s">
        <v>35</v>
      </c>
    </row>
    <row r="4" customFormat="false" ht="14.25" hidden="false" customHeight="true" outlineLevel="0" collapsed="false">
      <c r="A4" s="13" t="s">
        <v>61</v>
      </c>
      <c r="C4" s="16" t="n">
        <f aca="false">'P&amp;L'!C10/'P&amp;L'!C5</f>
        <v>0.709580580112077</v>
      </c>
      <c r="D4" s="16" t="n">
        <f aca="false">'P&amp;L'!D10/'P&amp;L'!D5</f>
        <v>0.7054090381195</v>
      </c>
      <c r="E4" s="16" t="n">
        <f aca="false">'P&amp;L'!E10/'P&amp;L'!E5</f>
        <v>0.704374446329129</v>
      </c>
      <c r="F4" s="16" t="n">
        <f aca="false">'P&amp;L'!F10/'P&amp;L'!F5</f>
        <v>0.657258455058692</v>
      </c>
      <c r="G4" s="16" t="n">
        <f aca="false">'P&amp;L'!G10/'P&amp;L'!G5</f>
        <v>0.650167312507117</v>
      </c>
      <c r="H4" s="16" t="n">
        <f aca="false">AVERAGE($E$4:$G$4)</f>
        <v>0.670600071298313</v>
      </c>
      <c r="I4" s="16" t="n">
        <f aca="false">AVERAGE($E$4:$G$4)</f>
        <v>0.670600071298313</v>
      </c>
      <c r="J4" s="16" t="n">
        <f aca="false">AVERAGE($E$4:$G$4)</f>
        <v>0.670600071298313</v>
      </c>
      <c r="K4" s="16" t="n">
        <f aca="false">AVERAGE($E$4:$G$4)</f>
        <v>0.670600071298313</v>
      </c>
      <c r="L4" s="16" t="n">
        <f aca="false">AVERAGE($E$4:$G$4)</f>
        <v>0.670600071298313</v>
      </c>
      <c r="M4" s="6" t="s">
        <v>62</v>
      </c>
    </row>
    <row r="5" customFormat="false" ht="14.25" hidden="false" customHeight="true" outlineLevel="0" collapsed="false">
      <c r="A5" s="13" t="s">
        <v>63</v>
      </c>
      <c r="C5" s="16" t="n">
        <f aca="false">'P&amp;L'!C11/'P&amp;L'!C5</f>
        <v>0.00100584026907681</v>
      </c>
      <c r="D5" s="16" t="n">
        <f aca="false">'P&amp;L'!D11/'P&amp;L'!D5</f>
        <v>0.00155492418602511</v>
      </c>
      <c r="E5" s="16" t="n">
        <f aca="false">'P&amp;L'!E11/'P&amp;L'!E5</f>
        <v>0.00138853189173491</v>
      </c>
      <c r="F5" s="16" t="n">
        <f aca="false">'P&amp;L'!F11/'P&amp;L'!F5</f>
        <v>0.0128133813830725</v>
      </c>
      <c r="G5" s="16" t="n">
        <f aca="false">'P&amp;L'!G11/'P&amp;L'!G5</f>
        <v>0.0133886659521614</v>
      </c>
      <c r="H5" s="16" t="n">
        <f aca="false">AVERAGE($E$5:$G$5)</f>
        <v>0.00919685974232292</v>
      </c>
      <c r="I5" s="16" t="n">
        <f aca="false">AVERAGE($E$5:$G$5)</f>
        <v>0.00919685974232292</v>
      </c>
      <c r="J5" s="16" t="n">
        <f aca="false">AVERAGE($E$5:$G$5)</f>
        <v>0.00919685974232292</v>
      </c>
      <c r="K5" s="16" t="n">
        <f aca="false">AVERAGE($E$5:$G$5)</f>
        <v>0.00919685974232292</v>
      </c>
      <c r="L5" s="16" t="n">
        <f aca="false">AVERAGE($E$5:$G$5)</f>
        <v>0.00919685974232292</v>
      </c>
      <c r="M5" s="6" t="s">
        <v>62</v>
      </c>
    </row>
    <row r="6" customFormat="false" ht="14.25" hidden="false" customHeight="true" outlineLevel="0" collapsed="false">
      <c r="A6" s="13" t="s">
        <v>64</v>
      </c>
      <c r="C6" s="16" t="n">
        <f aca="false">'P&amp;L'!C12/'P&amp;L'!C5</f>
        <v>-0.00825506093667179</v>
      </c>
      <c r="D6" s="16" t="n">
        <f aca="false">'P&amp;L'!D12/'P&amp;L'!D5</f>
        <v>0.00097017794153079</v>
      </c>
      <c r="E6" s="16" t="n">
        <f aca="false">'P&amp;L'!E12/'P&amp;L'!E5</f>
        <v>-0.00479208908619203</v>
      </c>
      <c r="F6" s="16" t="n">
        <f aca="false">'P&amp;L'!F12/'P&amp;L'!F5</f>
        <v>0.00498430479864044</v>
      </c>
      <c r="G6" s="16" t="n">
        <f aca="false">'P&amp;L'!G12/'P&amp;L'!G5</f>
        <v>-0.00597066423089761</v>
      </c>
      <c r="H6" s="16" t="n">
        <f aca="false">AVERAGE($E$6:$G$6)</f>
        <v>-0.00192614950614973</v>
      </c>
      <c r="I6" s="16" t="n">
        <f aca="false">AVERAGE($E$6:$G$6)</f>
        <v>-0.00192614950614973</v>
      </c>
      <c r="J6" s="16" t="n">
        <f aca="false">AVERAGE($E$6:$G$6)</f>
        <v>-0.00192614950614973</v>
      </c>
      <c r="K6" s="16" t="n">
        <f aca="false">AVERAGE($E$6:$G$6)</f>
        <v>-0.00192614950614973</v>
      </c>
      <c r="L6" s="16" t="n">
        <f aca="false">AVERAGE($E$6:$G$6)</f>
        <v>-0.00192614950614973</v>
      </c>
      <c r="M6" s="6" t="s">
        <v>62</v>
      </c>
    </row>
    <row r="7" customFormat="false" ht="14.25" hidden="false" customHeight="true" outlineLevel="0" collapsed="false">
      <c r="A7" s="13" t="s">
        <v>65</v>
      </c>
      <c r="C7" s="16" t="n">
        <f aca="false">'P&amp;L'!C14/'P&amp;L'!C5</f>
        <v>0.0630190906157429</v>
      </c>
      <c r="D7" s="16" t="n">
        <f aca="false">'P&amp;L'!D14/'P&amp;L'!D5</f>
        <v>0.067536160870189</v>
      </c>
      <c r="E7" s="16" t="n">
        <f aca="false">'P&amp;L'!E14/'P&amp;L'!E5</f>
        <v>0.0658710981024276</v>
      </c>
      <c r="F7" s="16" t="n">
        <f aca="false">'P&amp;L'!F14/'P&amp;L'!F5</f>
        <v>0.0654046112295183</v>
      </c>
      <c r="G7" s="16" t="n">
        <f aca="false">'P&amp;L'!G14/'P&amp;L'!G5</f>
        <v>0.0654898832990987</v>
      </c>
      <c r="H7" s="16" t="n">
        <f aca="false">AVERAGE($E$7:$G$7)</f>
        <v>0.0655885308770148</v>
      </c>
      <c r="I7" s="16" t="n">
        <f aca="false">AVERAGE($E$7:$G$7)</f>
        <v>0.0655885308770148</v>
      </c>
      <c r="J7" s="16" t="n">
        <f aca="false">AVERAGE($E$7:$G$7)</f>
        <v>0.0655885308770148</v>
      </c>
      <c r="K7" s="16" t="n">
        <f aca="false">AVERAGE($E$7:$G$7)</f>
        <v>0.0655885308770148</v>
      </c>
      <c r="L7" s="16" t="n">
        <f aca="false">AVERAGE($E$7:$G$7)</f>
        <v>0.0655885308770148</v>
      </c>
      <c r="M7" s="6" t="s">
        <v>62</v>
      </c>
    </row>
    <row r="8" customFormat="false" ht="14.25" hidden="false" customHeight="true" outlineLevel="0" collapsed="false">
      <c r="A8" s="13" t="s">
        <v>66</v>
      </c>
      <c r="C8" s="16" t="n">
        <f aca="false">'P&amp;L'!C17/'P&amp;L'!C5</f>
        <v>0.102232971857468</v>
      </c>
      <c r="D8" s="16" t="n">
        <f aca="false">'P&amp;L'!D17/'P&amp;L'!D5</f>
        <v>0.10796046736385</v>
      </c>
      <c r="E8" s="16" t="n">
        <f aca="false">'P&amp;L'!E17/'P&amp;L'!E5</f>
        <v>0.113311287010684</v>
      </c>
      <c r="F8" s="16" t="n">
        <f aca="false">'P&amp;L'!F17/'P&amp;L'!F5</f>
        <v>0.117972024381944</v>
      </c>
      <c r="G8" s="16" t="n">
        <f aca="false">'P&amp;L'!G17/'P&amp;L'!G5</f>
        <v>0.131632937814093</v>
      </c>
      <c r="H8" s="16" t="n">
        <f aca="false">AVERAGE($E$8:$G$8)</f>
        <v>0.120972083068907</v>
      </c>
      <c r="I8" s="16" t="n">
        <f aca="false">AVERAGE($E$8:$G$8)</f>
        <v>0.120972083068907</v>
      </c>
      <c r="J8" s="16" t="n">
        <f aca="false">AVERAGE($E$8:$G$8)</f>
        <v>0.120972083068907</v>
      </c>
      <c r="K8" s="16" t="n">
        <f aca="false">AVERAGE($E$8:$G$8)</f>
        <v>0.120972083068907</v>
      </c>
      <c r="L8" s="16" t="n">
        <f aca="false">AVERAGE($E$8:$G$8)</f>
        <v>0.120972083068907</v>
      </c>
      <c r="M8" s="6" t="s">
        <v>62</v>
      </c>
    </row>
    <row r="9" customFormat="false" ht="14.25" hidden="false" customHeight="true" outlineLevel="0" collapsed="false">
      <c r="M9" s="1" t="s">
        <v>67</v>
      </c>
    </row>
    <row r="10" customFormat="false" ht="14.25" hidden="false" customHeight="true" outlineLevel="0" collapsed="false">
      <c r="A10" s="13" t="s">
        <v>68</v>
      </c>
      <c r="C10" s="21" t="n">
        <f aca="false">'P&amp;L'!C21</f>
        <v>-46.56</v>
      </c>
      <c r="D10" s="21" t="n">
        <f aca="false">'P&amp;L'!D21</f>
        <v>-199.05</v>
      </c>
      <c r="E10" s="21" t="n">
        <f aca="false">'P&amp;L'!E21</f>
        <v>3.11</v>
      </c>
      <c r="F10" s="21" t="n">
        <f aca="false">'P&amp;L'!F21</f>
        <v>-120.25</v>
      </c>
      <c r="G10" s="21" t="n">
        <f aca="false">'P&amp;L'!G21</f>
        <v>-161.12</v>
      </c>
      <c r="H10" s="21" t="n">
        <f aca="false">AVERAGE($E$10:$G$10)</f>
        <v>-92.7533333333333</v>
      </c>
      <c r="I10" s="21" t="n">
        <f aca="false">AVERAGE($E$10:$G$10)</f>
        <v>-92.7533333333333</v>
      </c>
      <c r="J10" s="21" t="n">
        <f aca="false">AVERAGE($E$10:$G$10)</f>
        <v>-92.7533333333333</v>
      </c>
      <c r="K10" s="21" t="n">
        <f aca="false">AVERAGE($E$10:$G$10)</f>
        <v>-92.7533333333333</v>
      </c>
      <c r="L10" s="21" t="n">
        <f aca="false">AVERAGE($E$10:$G$10)</f>
        <v>-92.7533333333333</v>
      </c>
      <c r="M10" s="1" t="s">
        <v>62</v>
      </c>
    </row>
    <row r="11" customFormat="false" ht="14.25" hidden="false" customHeight="true" outlineLevel="0" collapsed="false">
      <c r="A11" s="13" t="s">
        <v>69</v>
      </c>
      <c r="C11" s="21" t="n">
        <f aca="false">'P&amp;L'!C30/'P&amp;L'!C24</f>
        <v>0.237254891773093</v>
      </c>
      <c r="D11" s="21" t="n">
        <f aca="false">'P&amp;L'!D30/'P&amp;L'!D24</f>
        <v>0.238402150347764</v>
      </c>
      <c r="E11" s="21" t="n">
        <f aca="false">'P&amp;L'!E30/'P&amp;L'!E24</f>
        <v>0.27531693075406</v>
      </c>
      <c r="F11" s="21" t="n">
        <f aca="false">'P&amp;L'!F30/'P&amp;L'!F24</f>
        <v>0.264830458528152</v>
      </c>
      <c r="G11" s="21" t="n">
        <f aca="false">'P&amp;L'!G30/'P&amp;L'!G24</f>
        <v>0.26253210551507</v>
      </c>
      <c r="H11" s="28" t="n">
        <f aca="false">AVERAGE($E$11:$G$11)</f>
        <v>0.267559831599094</v>
      </c>
      <c r="I11" s="21" t="n">
        <f aca="false">AVERAGE($E$11:$G$11)</f>
        <v>0.267559831599094</v>
      </c>
      <c r="J11" s="21" t="n">
        <f aca="false">AVERAGE($E$11:$G$11)</f>
        <v>0.267559831599094</v>
      </c>
      <c r="K11" s="21" t="n">
        <f aca="false">AVERAGE($E$11:$G$11)</f>
        <v>0.267559831599094</v>
      </c>
      <c r="L11" s="21" t="n">
        <f aca="false">AVERAGE($E$11:$G$11)</f>
        <v>0.267559831599094</v>
      </c>
      <c r="M11" s="1" t="s">
        <v>70</v>
      </c>
    </row>
    <row r="12" customFormat="false" ht="14.25" hidden="false" customHeight="true" outlineLevel="0" collapsed="false">
      <c r="A12" s="1" t="s">
        <v>71</v>
      </c>
      <c r="C12" s="6" t="n">
        <f aca="false">'P&amp;L'!C6/'P&amp;L'!C5</f>
        <v>0.0180204973062926</v>
      </c>
      <c r="D12" s="6" t="n">
        <f aca="false">'P&amp;L'!D6/'P&amp;L'!D5</f>
        <v>0.0187812507613883</v>
      </c>
      <c r="E12" s="6" t="n">
        <f aca="false">'P&amp;L'!E6/'P&amp;L'!E5</f>
        <v>0.0166579913918634</v>
      </c>
      <c r="F12" s="6" t="n">
        <f aca="false">'P&amp;L'!F6/'P&amp;L'!F5</f>
        <v>0.0226136863426079</v>
      </c>
      <c r="G12" s="6" t="n">
        <f aca="false">'P&amp;L'!G6/'P&amp;L'!G5</f>
        <v>0.0255130191953654</v>
      </c>
      <c r="H12" s="6" t="n">
        <f aca="false">AVERAGE($E$12:$G$12)</f>
        <v>0.0215948989766122</v>
      </c>
      <c r="I12" s="6" t="n">
        <f aca="false">AVERAGE($E$12:$G$12)</f>
        <v>0.0215948989766122</v>
      </c>
      <c r="J12" s="6" t="n">
        <f aca="false">AVERAGE($E$12:$G$12)</f>
        <v>0.0215948989766122</v>
      </c>
      <c r="K12" s="6" t="n">
        <f aca="false">AVERAGE($E$12:$G$12)</f>
        <v>0.0215948989766122</v>
      </c>
      <c r="L12" s="6" t="n">
        <f aca="false">AVERAGE($E$12:$G$12)</f>
        <v>0.0215948989766122</v>
      </c>
      <c r="M12" s="6" t="s">
        <v>72</v>
      </c>
    </row>
    <row r="13" customFormat="false" ht="14.25" hidden="false" customHeight="true" outlineLevel="0" collapsed="false">
      <c r="H13" s="6"/>
      <c r="I13" s="6"/>
      <c r="J13" s="6"/>
      <c r="K13" s="6"/>
      <c r="L13" s="6"/>
      <c r="M13" s="6"/>
    </row>
    <row r="15" customFormat="false" ht="108.75" hidden="false" customHeight="true" outlineLevel="0" collapsed="false">
      <c r="A15" s="1" t="s">
        <v>54</v>
      </c>
      <c r="B15" s="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M2" activeCellId="0" sqref="M2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12" min="3" style="1" width="11"/>
    <col collapsed="false" customWidth="true" hidden="false" outlineLevel="0" max="13" min="13" style="1" width="41.53"/>
  </cols>
  <sheetData>
    <row r="1" customFormat="false" ht="15.75" hidden="false" customHeight="true" outlineLevel="0" collapsed="false">
      <c r="A1" s="10" t="s">
        <v>74</v>
      </c>
      <c r="M1" s="1" t="s">
        <v>75</v>
      </c>
    </row>
    <row r="2" customFormat="false" ht="21.75" hidden="false" customHeight="true" outlineLevel="0" collapsed="false">
      <c r="A2" s="29" t="s">
        <v>76</v>
      </c>
      <c r="B2" s="30"/>
      <c r="C2" s="31" t="s">
        <v>26</v>
      </c>
      <c r="D2" s="31" t="s">
        <v>27</v>
      </c>
      <c r="E2" s="31" t="s">
        <v>28</v>
      </c>
      <c r="F2" s="31" t="s">
        <v>29</v>
      </c>
      <c r="G2" s="31" t="s">
        <v>30</v>
      </c>
      <c r="H2" s="31" t="s">
        <v>31</v>
      </c>
      <c r="I2" s="31" t="s">
        <v>32</v>
      </c>
      <c r="J2" s="31" t="s">
        <v>33</v>
      </c>
      <c r="K2" s="31" t="s">
        <v>34</v>
      </c>
      <c r="L2" s="31" t="s">
        <v>35</v>
      </c>
    </row>
    <row r="3" customFormat="false" ht="14.25" hidden="false" customHeight="true" outlineLevel="0" collapsed="false">
      <c r="A3" s="32" t="s">
        <v>77</v>
      </c>
    </row>
    <row r="4" customFormat="false" ht="14.25" hidden="false" customHeight="true" outlineLevel="0" collapsed="false">
      <c r="A4" s="13" t="s">
        <v>78</v>
      </c>
      <c r="C4" s="21" t="n">
        <f aca="false">'Balance Sheet'!C19</f>
        <v>1789.27</v>
      </c>
      <c r="D4" s="21" t="n">
        <f aca="false">'Balance Sheet'!D19</f>
        <v>1472.41</v>
      </c>
      <c r="E4" s="21" t="n">
        <f aca="false">'Balance Sheet'!E19</f>
        <v>1756.39</v>
      </c>
      <c r="F4" s="21" t="n">
        <f aca="false">'Balance Sheet'!F19</f>
        <v>1755.9</v>
      </c>
      <c r="G4" s="21" t="n">
        <f aca="false">'Balance Sheet'!G19</f>
        <v>2013.34</v>
      </c>
      <c r="H4" s="21" t="n">
        <f aca="false">H25*'Revenue Model'!H7/365</f>
        <v>2474.31044058886</v>
      </c>
      <c r="I4" s="21" t="n">
        <f aca="false">I25*'Revenue Model'!I7/365</f>
        <v>3008.4704004101</v>
      </c>
      <c r="J4" s="21" t="n">
        <f aca="false">J25*'Revenue Model'!J7/365</f>
        <v>3638.70637916268</v>
      </c>
      <c r="K4" s="21" t="n">
        <f aca="false">K25*'Revenue Model'!K7/365</f>
        <v>4463.75238738182</v>
      </c>
      <c r="L4" s="21" t="n">
        <f aca="false">L25*'Revenue Model'!L7/365</f>
        <v>5466.57986547905</v>
      </c>
      <c r="M4" s="1" t="s">
        <v>79</v>
      </c>
    </row>
    <row r="5" customFormat="false" ht="14.25" hidden="false" customHeight="true" outlineLevel="0" collapsed="false">
      <c r="A5" s="13" t="s">
        <v>80</v>
      </c>
      <c r="C5" s="21" t="n">
        <f aca="false">'Balance Sheet'!C21</f>
        <v>6225.34</v>
      </c>
      <c r="D5" s="21" t="n">
        <f aca="false">'Balance Sheet'!D21</f>
        <v>5870.31</v>
      </c>
      <c r="E5" s="21" t="n">
        <f aca="false">'Balance Sheet'!E21</f>
        <v>3671.85</v>
      </c>
      <c r="F5" s="21" t="n">
        <f aca="false">'Balance Sheet'!F21</f>
        <v>4305.08</v>
      </c>
      <c r="G5" s="21" t="n">
        <f aca="false">'Balance Sheet'!G21</f>
        <v>6635.99</v>
      </c>
      <c r="H5" s="21" t="n">
        <f aca="false">$G$5</f>
        <v>6635.99</v>
      </c>
      <c r="I5" s="21" t="n">
        <f aca="false">$G$5</f>
        <v>6635.99</v>
      </c>
      <c r="J5" s="21" t="n">
        <f aca="false">$G$5</f>
        <v>6635.99</v>
      </c>
      <c r="K5" s="21" t="n">
        <f aca="false">$G$5</f>
        <v>6635.99</v>
      </c>
      <c r="L5" s="21" t="n">
        <f aca="false">$G$5</f>
        <v>6635.99</v>
      </c>
    </row>
    <row r="6" customFormat="false" ht="14.25" hidden="false" customHeight="true" outlineLevel="0" collapsed="false">
      <c r="A6" s="13" t="s">
        <v>81</v>
      </c>
      <c r="C6" s="21" t="n">
        <f aca="false">'Balance Sheet'!C22</f>
        <v>2274.68</v>
      </c>
      <c r="D6" s="21" t="n">
        <f aca="false">'Balance Sheet'!D22</f>
        <v>2158.49</v>
      </c>
      <c r="E6" s="21" t="n">
        <f aca="false">'Balance Sheet'!E22</f>
        <v>2719.47</v>
      </c>
      <c r="F6" s="21" t="n">
        <f aca="false">'Balance Sheet'!F22</f>
        <v>2630.22</v>
      </c>
      <c r="G6" s="21" t="n">
        <f aca="false">'Balance Sheet'!G22</f>
        <v>3381.29</v>
      </c>
      <c r="H6" s="21" t="n">
        <f aca="false">H27*'Revenue Model'!H7/365</f>
        <v>3900.16698441999</v>
      </c>
      <c r="I6" s="21" t="n">
        <f aca="false">I27*'Revenue Model'!I7/365</f>
        <v>4742.14420988007</v>
      </c>
      <c r="J6" s="21" t="n">
        <f aca="false">J27*'Revenue Model'!J7/365</f>
        <v>5735.56262512931</v>
      </c>
      <c r="K6" s="21" t="n">
        <f aca="false">K27*'Revenue Model'!K7/365</f>
        <v>7036.05311698447</v>
      </c>
      <c r="L6" s="21" t="n">
        <f aca="false">L27*'Revenue Model'!L7/365</f>
        <v>8616.77417647011</v>
      </c>
    </row>
    <row r="7" customFormat="false" ht="14.25" hidden="false" customHeight="true" outlineLevel="0" collapsed="false">
      <c r="A7" s="13" t="s">
        <v>82</v>
      </c>
      <c r="C7" s="21" t="n">
        <f aca="false">'Balance Sheet'!C24</f>
        <v>121.62</v>
      </c>
      <c r="D7" s="21" t="n">
        <f aca="false">'Balance Sheet'!D24</f>
        <v>118.72</v>
      </c>
      <c r="E7" s="21" t="n">
        <f aca="false">'Balance Sheet'!E24</f>
        <v>196.5</v>
      </c>
      <c r="F7" s="21" t="n">
        <f aca="false">'Balance Sheet'!F24</f>
        <v>91.56</v>
      </c>
      <c r="G7" s="21" t="n">
        <f aca="false">'Balance Sheet'!G24</f>
        <v>190.53</v>
      </c>
      <c r="H7" s="21" t="n">
        <f aca="false">$G$7</f>
        <v>190.53</v>
      </c>
      <c r="I7" s="21" t="n">
        <f aca="false">$G$7</f>
        <v>190.53</v>
      </c>
      <c r="J7" s="21" t="n">
        <f aca="false">$G$7</f>
        <v>190.53</v>
      </c>
      <c r="K7" s="21" t="n">
        <f aca="false">$G$7</f>
        <v>190.53</v>
      </c>
      <c r="L7" s="21" t="n">
        <f aca="false">$G$7</f>
        <v>190.53</v>
      </c>
    </row>
    <row r="8" customFormat="false" ht="14.25" hidden="false" customHeight="true" outlineLevel="0" collapsed="false">
      <c r="A8" s="13" t="s">
        <v>83</v>
      </c>
      <c r="C8" s="21" t="n">
        <f aca="false">'Balance Sheet'!C25</f>
        <v>39.77</v>
      </c>
      <c r="D8" s="21" t="n">
        <f aca="false">'Balance Sheet'!D25</f>
        <v>22.81</v>
      </c>
      <c r="E8" s="21" t="n">
        <f aca="false">'Balance Sheet'!E25</f>
        <v>23.71</v>
      </c>
      <c r="F8" s="21" t="n">
        <f aca="false">'Balance Sheet'!F25</f>
        <v>24.56</v>
      </c>
      <c r="G8" s="21" t="n">
        <f aca="false">'Balance Sheet'!G25</f>
        <v>27.07</v>
      </c>
      <c r="H8" s="21" t="n">
        <f aca="false">$G$8</f>
        <v>27.07</v>
      </c>
      <c r="I8" s="21" t="n">
        <f aca="false">$G$8</f>
        <v>27.07</v>
      </c>
      <c r="J8" s="21" t="n">
        <f aca="false">$G$8</f>
        <v>27.07</v>
      </c>
      <c r="K8" s="21" t="n">
        <f aca="false">$G$8</f>
        <v>27.07</v>
      </c>
      <c r="L8" s="21" t="n">
        <f aca="false">$G$8</f>
        <v>27.07</v>
      </c>
    </row>
    <row r="9" customFormat="false" ht="14.25" hidden="false" customHeight="true" outlineLevel="0" collapsed="false">
      <c r="A9" s="13" t="s">
        <v>84</v>
      </c>
      <c r="C9" s="21" t="n">
        <f aca="false">'Balance Sheet'!C26</f>
        <v>365.73</v>
      </c>
      <c r="D9" s="21" t="n">
        <f aca="false">'Balance Sheet'!D26</f>
        <v>475</v>
      </c>
      <c r="E9" s="21" t="n">
        <f aca="false">'Balance Sheet'!E26</f>
        <v>571.65</v>
      </c>
      <c r="F9" s="21" t="n">
        <f aca="false">'Balance Sheet'!F26</f>
        <v>423.53</v>
      </c>
      <c r="G9" s="21" t="n">
        <f aca="false">'Balance Sheet'!G26</f>
        <v>141.59</v>
      </c>
      <c r="H9" s="21" t="n">
        <f aca="false">$G$9</f>
        <v>141.59</v>
      </c>
      <c r="I9" s="21" t="n">
        <f aca="false">$G$9</f>
        <v>141.59</v>
      </c>
      <c r="J9" s="21" t="n">
        <f aca="false">$G$9</f>
        <v>141.59</v>
      </c>
      <c r="K9" s="21" t="n">
        <f aca="false">$G$9</f>
        <v>141.59</v>
      </c>
      <c r="L9" s="21" t="n">
        <f aca="false">$G$9</f>
        <v>141.59</v>
      </c>
    </row>
    <row r="10" customFormat="false" ht="14.25" hidden="false" customHeight="true" outlineLevel="0" collapsed="false">
      <c r="A10" s="13" t="s">
        <v>85</v>
      </c>
      <c r="C10" s="21" t="n">
        <f aca="false">'Balance Sheet'!C27</f>
        <v>279.45</v>
      </c>
      <c r="D10" s="21" t="n">
        <f aca="false">'Balance Sheet'!D27</f>
        <v>273.46</v>
      </c>
      <c r="E10" s="21" t="n">
        <f aca="false">'Balance Sheet'!E27</f>
        <v>269.46</v>
      </c>
      <c r="F10" s="21" t="n">
        <f aca="false">'Balance Sheet'!F27</f>
        <v>479.69</v>
      </c>
      <c r="G10" s="21" t="n">
        <f aca="false">'Balance Sheet'!G27</f>
        <v>462.41</v>
      </c>
      <c r="H10" s="21" t="n">
        <f aca="false">H31*'Revenue Model'!H7/365</f>
        <v>536.335580116295</v>
      </c>
      <c r="I10" s="21" t="n">
        <f aca="false">I31*'Revenue Model'!I7/365</f>
        <v>652.120967117872</v>
      </c>
      <c r="J10" s="21" t="n">
        <f aca="false">J31*'Revenue Model'!J7/365</f>
        <v>788.731949203846</v>
      </c>
      <c r="K10" s="21" t="n">
        <f aca="false">K31*'Revenue Model'!K7/365</f>
        <v>967.570272068269</v>
      </c>
      <c r="L10" s="21" t="n">
        <f aca="false">L31*'Revenue Model'!L7/365</f>
        <v>1184.94479726885</v>
      </c>
    </row>
    <row r="11" customFormat="false" ht="14.25" hidden="false" customHeight="true" outlineLevel="0" collapsed="false">
      <c r="A11" s="13" t="s">
        <v>86</v>
      </c>
      <c r="C11" s="21" t="n">
        <f aca="false">'Balance Sheet'!C28</f>
        <v>0</v>
      </c>
      <c r="D11" s="21" t="n">
        <f aca="false">'Balance Sheet'!D28</f>
        <v>0</v>
      </c>
      <c r="E11" s="21" t="n">
        <f aca="false">'Balance Sheet'!E28</f>
        <v>0</v>
      </c>
      <c r="F11" s="21" t="n">
        <f aca="false">'Balance Sheet'!F28</f>
        <v>0</v>
      </c>
      <c r="G11" s="21" t="n">
        <f aca="false">'Balance Sheet'!G28</f>
        <v>198.12</v>
      </c>
      <c r="H11" s="21" t="n">
        <f aca="false">$G$11</f>
        <v>198.12</v>
      </c>
      <c r="I11" s="21" t="n">
        <f aca="false">$G$11</f>
        <v>198.12</v>
      </c>
      <c r="J11" s="21" t="n">
        <f aca="false">$G$11</f>
        <v>198.12</v>
      </c>
      <c r="K11" s="21" t="n">
        <f aca="false">$G$11</f>
        <v>198.12</v>
      </c>
      <c r="L11" s="21" t="n">
        <f aca="false">$G$11</f>
        <v>198.12</v>
      </c>
    </row>
    <row r="12" customFormat="false" ht="14.25" hidden="false" customHeight="true" outlineLevel="0" collapsed="false">
      <c r="A12" s="22" t="s">
        <v>87</v>
      </c>
      <c r="B12" s="18"/>
      <c r="C12" s="23" t="n">
        <f aca="false">SUM(C4:C11)</f>
        <v>11095.86</v>
      </c>
      <c r="D12" s="23" t="n">
        <f aca="false">SUM(D4:D11)</f>
        <v>10391.2</v>
      </c>
      <c r="E12" s="23" t="n">
        <f aca="false">SUM(E4:E11)</f>
        <v>9209.03</v>
      </c>
      <c r="F12" s="23" t="n">
        <f aca="false">SUM(F4:F11)</f>
        <v>9710.54</v>
      </c>
      <c r="G12" s="23" t="n">
        <f aca="false">SUM(G4:G11)</f>
        <v>13050.34</v>
      </c>
      <c r="H12" s="23" t="n">
        <f aca="false">SUM(H4:H11)</f>
        <v>14104.1130051252</v>
      </c>
      <c r="I12" s="23" t="n">
        <f aca="false">SUM(I4:I11)</f>
        <v>15596.0355774081</v>
      </c>
      <c r="J12" s="23" t="n">
        <f aca="false">SUM(J4:J11)</f>
        <v>17356.3009534958</v>
      </c>
      <c r="K12" s="23" t="n">
        <f aca="false">SUM(K4:K11)</f>
        <v>19660.6757764346</v>
      </c>
      <c r="L12" s="23" t="n">
        <f aca="false">SUM(L4:L11)</f>
        <v>22461.598839218</v>
      </c>
      <c r="M12" s="18"/>
    </row>
    <row r="13" customFormat="false" ht="14.25" hidden="false" customHeight="true" outlineLevel="0" collapsed="false">
      <c r="A13" s="24" t="s">
        <v>88</v>
      </c>
    </row>
    <row r="14" customFormat="false" ht="14.25" hidden="false" customHeight="true" outlineLevel="0" collapsed="false">
      <c r="A14" s="13" t="s">
        <v>89</v>
      </c>
      <c r="C14" s="21" t="n">
        <f aca="false">'Balance Sheet'!C48</f>
        <v>285.16</v>
      </c>
      <c r="D14" s="21" t="n">
        <f aca="false">'Balance Sheet'!D48</f>
        <v>317.31</v>
      </c>
      <c r="E14" s="21" t="n">
        <f aca="false">'Balance Sheet'!E48</f>
        <v>293.15</v>
      </c>
      <c r="F14" s="21" t="n">
        <f aca="false">'Balance Sheet'!F48</f>
        <v>363.43</v>
      </c>
      <c r="G14" s="21" t="n">
        <f aca="false">'Balance Sheet'!G48</f>
        <v>456.76</v>
      </c>
      <c r="H14" s="21" t="n">
        <f aca="false">$G$14</f>
        <v>456.76</v>
      </c>
      <c r="I14" s="21" t="n">
        <f aca="false">$G$14</f>
        <v>456.76</v>
      </c>
      <c r="J14" s="21" t="n">
        <f aca="false">$G$14</f>
        <v>456.76</v>
      </c>
      <c r="K14" s="21" t="n">
        <f aca="false">$G$14</f>
        <v>456.76</v>
      </c>
      <c r="L14" s="21" t="n">
        <f aca="false">$G$14</f>
        <v>456.76</v>
      </c>
      <c r="M14" s="1" t="s">
        <v>90</v>
      </c>
    </row>
    <row r="15" customFormat="false" ht="14.25" hidden="false" customHeight="true" outlineLevel="0" collapsed="false">
      <c r="A15" s="13" t="s">
        <v>91</v>
      </c>
      <c r="C15" s="21" t="n">
        <f aca="false">'Balance Sheet'!C49</f>
        <v>29.57</v>
      </c>
      <c r="D15" s="21" t="n">
        <f aca="false">'Balance Sheet'!D49</f>
        <v>36.18</v>
      </c>
      <c r="E15" s="21" t="n">
        <f aca="false">'Balance Sheet'!E49</f>
        <v>34.63</v>
      </c>
      <c r="F15" s="21" t="n">
        <f aca="false">'Balance Sheet'!F49</f>
        <v>43.85</v>
      </c>
      <c r="G15" s="21" t="n">
        <f aca="false">'Balance Sheet'!G49</f>
        <v>46.96</v>
      </c>
      <c r="H15" s="21" t="n">
        <f aca="false">$G$15</f>
        <v>46.96</v>
      </c>
      <c r="I15" s="21" t="n">
        <f aca="false">$G$15</f>
        <v>46.96</v>
      </c>
      <c r="J15" s="21" t="n">
        <f aca="false">$G$15</f>
        <v>46.96</v>
      </c>
      <c r="K15" s="21" t="n">
        <f aca="false">$G$15</f>
        <v>46.96</v>
      </c>
      <c r="L15" s="21" t="n">
        <f aca="false">$G$15</f>
        <v>46.96</v>
      </c>
    </row>
    <row r="16" customFormat="false" ht="14.25" hidden="false" customHeight="true" outlineLevel="0" collapsed="false">
      <c r="A16" s="13" t="s">
        <v>92</v>
      </c>
      <c r="C16" s="21" t="n">
        <f aca="false">'Balance Sheet'!C50</f>
        <v>5264.18</v>
      </c>
      <c r="D16" s="21" t="n">
        <f aca="false">'Balance Sheet'!D50</f>
        <v>4343.09</v>
      </c>
      <c r="E16" s="21" t="n">
        <f aca="false">'Balance Sheet'!E50</f>
        <v>4760.14</v>
      </c>
      <c r="F16" s="21" t="n">
        <f aca="false">'Balance Sheet'!F50</f>
        <v>5622.9</v>
      </c>
      <c r="G16" s="21" t="n">
        <f aca="false">'Balance Sheet'!G50</f>
        <v>5699.66</v>
      </c>
      <c r="H16" s="21" t="n">
        <f aca="false">H35*('P&amp;L'!H10+'P&amp;L'!H11+'P&amp;L'!H12)/365</f>
        <v>7195.91302718963</v>
      </c>
      <c r="I16" s="21" t="n">
        <f aca="false">I35*('P&amp;L'!I10+'P&amp;L'!I11+'P&amp;L'!I12)/365</f>
        <v>8749.3836630594</v>
      </c>
      <c r="J16" s="21" t="n">
        <f aca="false">J35*('P&amp;L'!J10+'P&amp;L'!J11+'P&amp;L'!J12)/365</f>
        <v>10582.2673688849</v>
      </c>
      <c r="K16" s="21" t="n">
        <f aca="false">K35*('P&amp;L'!K10+'P&amp;L'!K11+'P&amp;L'!K12)/365</f>
        <v>12981.7073183692</v>
      </c>
      <c r="L16" s="21" t="n">
        <f aca="false">L35*('P&amp;L'!L10+'P&amp;L'!L11+'P&amp;L'!L12)/365</f>
        <v>15898.1802052338</v>
      </c>
    </row>
    <row r="17" customFormat="false" ht="14.25" hidden="false" customHeight="true" outlineLevel="0" collapsed="false">
      <c r="A17" s="13" t="s">
        <v>93</v>
      </c>
      <c r="C17" s="21" t="n">
        <f aca="false">'Balance Sheet'!C51</f>
        <v>179.21</v>
      </c>
      <c r="D17" s="21" t="n">
        <f aca="false">'Balance Sheet'!D51</f>
        <v>145.58</v>
      </c>
      <c r="E17" s="21" t="n">
        <f aca="false">'Balance Sheet'!E51</f>
        <v>169.93</v>
      </c>
      <c r="F17" s="21" t="n">
        <f aca="false">'Balance Sheet'!F51</f>
        <v>254.9</v>
      </c>
      <c r="G17" s="21" t="n">
        <f aca="false">'Balance Sheet'!G51</f>
        <v>282.94</v>
      </c>
      <c r="H17" s="21" t="n">
        <f aca="false">$G$17</f>
        <v>282.94</v>
      </c>
      <c r="I17" s="21" t="n">
        <f aca="false">$G$17</f>
        <v>282.94</v>
      </c>
      <c r="J17" s="21" t="n">
        <f aca="false">$G$17</f>
        <v>282.94</v>
      </c>
      <c r="K17" s="21" t="n">
        <f aca="false">$G$17</f>
        <v>282.94</v>
      </c>
      <c r="L17" s="21" t="n">
        <f aca="false">$G$17</f>
        <v>282.94</v>
      </c>
    </row>
    <row r="18" customFormat="false" ht="14.25" hidden="false" customHeight="true" outlineLevel="0" collapsed="false">
      <c r="A18" s="13" t="s">
        <v>94</v>
      </c>
      <c r="C18" s="21" t="n">
        <f aca="false">'Balance Sheet'!C52</f>
        <v>570.59</v>
      </c>
      <c r="D18" s="21" t="n">
        <f aca="false">'Balance Sheet'!D52</f>
        <v>496.32</v>
      </c>
      <c r="E18" s="21" t="n">
        <f aca="false">'Balance Sheet'!E52</f>
        <v>562.09</v>
      </c>
      <c r="F18" s="21" t="n">
        <f aca="false">'Balance Sheet'!F52</f>
        <v>603.85</v>
      </c>
      <c r="G18" s="21" t="n">
        <f aca="false">'Balance Sheet'!G52</f>
        <v>768.17</v>
      </c>
      <c r="H18" s="21" t="n">
        <f aca="false">H37*'Revenue Model'!H7/365</f>
        <v>861.414508444682</v>
      </c>
      <c r="I18" s="21" t="n">
        <f aca="false">I37*'Revenue Model'!I7/365</f>
        <v>1047.37869938539</v>
      </c>
      <c r="J18" s="21" t="n">
        <f aca="false">J37*'Revenue Model'!J7/365</f>
        <v>1266.79110897458</v>
      </c>
      <c r="K18" s="21" t="n">
        <f aca="false">K37*'Revenue Model'!K7/365</f>
        <v>1554.02531772859</v>
      </c>
      <c r="L18" s="21" t="n">
        <f aca="false">L37*'Revenue Model'!L7/365</f>
        <v>1903.15294736199</v>
      </c>
    </row>
    <row r="19" customFormat="false" ht="14.25" hidden="false" customHeight="true" outlineLevel="0" collapsed="false">
      <c r="A19" s="13" t="s">
        <v>95</v>
      </c>
      <c r="C19" s="21" t="n">
        <f aca="false">'Balance Sheet'!C53</f>
        <v>175.82</v>
      </c>
      <c r="D19" s="21" t="n">
        <f aca="false">'Balance Sheet'!D53</f>
        <v>179.15</v>
      </c>
      <c r="E19" s="21" t="n">
        <f aca="false">'Balance Sheet'!E53</f>
        <v>192.68</v>
      </c>
      <c r="F19" s="21" t="n">
        <f aca="false">'Balance Sheet'!F53</f>
        <v>159.44</v>
      </c>
      <c r="G19" s="21" t="n">
        <f aca="false">'Balance Sheet'!G53</f>
        <v>221.49</v>
      </c>
      <c r="H19" s="21" t="n">
        <f aca="false">H38*'Revenue Model'!H7/365</f>
        <v>256.9195293196</v>
      </c>
      <c r="I19" s="21" t="n">
        <f aca="false">I38*'Revenue Model'!I7/365</f>
        <v>312.383921825655</v>
      </c>
      <c r="J19" s="21" t="n">
        <f aca="false">J38*'Revenue Model'!J7/365</f>
        <v>377.824348526056</v>
      </c>
      <c r="K19" s="21" t="n">
        <f aca="false">K38*'Revenue Model'!K7/365</f>
        <v>463.492835641289</v>
      </c>
      <c r="L19" s="21" t="n">
        <f aca="false">L38*'Revenue Model'!L7/365</f>
        <v>567.62122609507</v>
      </c>
    </row>
    <row r="20" customFormat="false" ht="14.25" hidden="false" customHeight="true" outlineLevel="0" collapsed="false">
      <c r="A20" s="22" t="s">
        <v>96</v>
      </c>
      <c r="B20" s="18"/>
      <c r="C20" s="23" t="n">
        <f aca="false">SUM(C14:C19)</f>
        <v>6504.53</v>
      </c>
      <c r="D20" s="23" t="n">
        <f aca="false">SUM(D14:D19)</f>
        <v>5517.63</v>
      </c>
      <c r="E20" s="23" t="n">
        <f aca="false">SUM(E14:E19)</f>
        <v>6012.62</v>
      </c>
      <c r="F20" s="23" t="n">
        <f aca="false">SUM(F14:F19)</f>
        <v>7048.37</v>
      </c>
      <c r="G20" s="23" t="n">
        <f aca="false">SUM(G14:G19)</f>
        <v>7475.98</v>
      </c>
      <c r="H20" s="23" t="n">
        <f aca="false">SUM(H14:H19)</f>
        <v>9100.90706495392</v>
      </c>
      <c r="I20" s="23" t="n">
        <f aca="false">SUM(I14:I19)</f>
        <v>10895.8062842704</v>
      </c>
      <c r="J20" s="23" t="n">
        <f aca="false">SUM(J14:J19)</f>
        <v>13013.5428263856</v>
      </c>
      <c r="K20" s="23" t="n">
        <f aca="false">SUM(K14:K19)</f>
        <v>15785.885471739</v>
      </c>
      <c r="L20" s="23" t="n">
        <f aca="false">SUM(L14:L19)</f>
        <v>19155.6143786909</v>
      </c>
    </row>
    <row r="21" customFormat="false" ht="14.25" hidden="false" customHeight="true" outlineLevel="0" collapsed="false">
      <c r="A21" s="33" t="s">
        <v>97</v>
      </c>
      <c r="B21" s="27"/>
      <c r="C21" s="34" t="n">
        <f aca="false">C4+C6+C10+C11-C16-C18-C19</f>
        <v>-1667.19</v>
      </c>
      <c r="D21" s="34" t="n">
        <f aca="false">D4+D6+D10+D11-D16-D18-D19</f>
        <v>-1114.2</v>
      </c>
      <c r="E21" s="34" t="n">
        <f aca="false">E4+E6+E10+E11-E16-E18-E19</f>
        <v>-769.590000000001</v>
      </c>
      <c r="F21" s="34" t="n">
        <f aca="false">F4+F6+F10+F11-F16-F18-F19</f>
        <v>-1520.38</v>
      </c>
      <c r="G21" s="34" t="n">
        <f aca="false">G4+G6+G10+G11-G16-G18-G19</f>
        <v>-634.16</v>
      </c>
      <c r="H21" s="34" t="n">
        <f aca="false">H4+H6+H10+H11-H16-H18-H19</f>
        <v>-1205.31405982877</v>
      </c>
      <c r="I21" s="34" t="n">
        <f aca="false">I4+I6+I10+I11-I16-I18-I19</f>
        <v>-1508.29070686239</v>
      </c>
      <c r="J21" s="34" t="n">
        <f aca="false">J4+J6+J10+J11-J16-J18-J19</f>
        <v>-1865.76187288972</v>
      </c>
      <c r="K21" s="34" t="n">
        <f aca="false">K4+K6+K10+K11-K16-K18-K19</f>
        <v>-2333.72969530448</v>
      </c>
      <c r="L21" s="34" t="n">
        <f aca="false">L4+L6+L10+L11-L16-L18-L19</f>
        <v>-2902.53553947289</v>
      </c>
      <c r="M21" s="1" t="s">
        <v>98</v>
      </c>
    </row>
    <row r="22" customFormat="false" ht="14.25" hidden="false" customHeight="true" outlineLevel="0" collapsed="false">
      <c r="A22" s="13" t="s">
        <v>99</v>
      </c>
      <c r="D22" s="21" t="n">
        <f aca="false">D21-C21</f>
        <v>552.99</v>
      </c>
      <c r="E22" s="21" t="n">
        <f aca="false">E21-D21</f>
        <v>344.61</v>
      </c>
      <c r="F22" s="21" t="n">
        <f aca="false">F21-E21</f>
        <v>-750.79</v>
      </c>
      <c r="G22" s="21" t="n">
        <f aca="false">G21-F21</f>
        <v>886.22</v>
      </c>
      <c r="H22" s="21" t="n">
        <f aca="false">H21-G21</f>
        <v>-571.154059828767</v>
      </c>
      <c r="I22" s="21" t="n">
        <f aca="false">I21-H21</f>
        <v>-302.976647033621</v>
      </c>
      <c r="J22" s="21" t="n">
        <f aca="false">J21-I21</f>
        <v>-357.471166027327</v>
      </c>
      <c r="K22" s="21" t="n">
        <f aca="false">K21-J21</f>
        <v>-467.967822414766</v>
      </c>
      <c r="L22" s="21" t="n">
        <f aca="false">L21-K21</f>
        <v>-568.805844168409</v>
      </c>
    </row>
    <row r="24" customFormat="false" ht="14.25" hidden="false" customHeight="true" outlineLevel="0" collapsed="false">
      <c r="A24" s="24" t="s">
        <v>100</v>
      </c>
    </row>
    <row r="25" customFormat="false" ht="14.25" hidden="false" customHeight="true" outlineLevel="0" collapsed="false">
      <c r="A25" s="13" t="s">
        <v>78</v>
      </c>
      <c r="C25" s="16" t="n">
        <f aca="false">C4*365/'Revenue Model'!C7</f>
        <v>21.0949818131547</v>
      </c>
      <c r="D25" s="16" t="n">
        <f aca="false">D4*365/'Revenue Model'!D7</f>
        <v>18.1863408285529</v>
      </c>
      <c r="E25" s="16" t="n">
        <f aca="false">E4*365/'Revenue Model'!E7</f>
        <v>18.7679377651985</v>
      </c>
      <c r="F25" s="16" t="n">
        <f aca="false">F4*365/'Revenue Model'!F7</f>
        <v>16.9602250624659</v>
      </c>
      <c r="G25" s="16" t="n">
        <f aca="false">G4*365/'Revenue Model'!G7</f>
        <v>17.9571770883274</v>
      </c>
      <c r="H25" s="16" t="n">
        <f aca="false">AVERAGE($E$25:$G$25)</f>
        <v>17.8951133053306</v>
      </c>
      <c r="I25" s="16" t="n">
        <f aca="false">AVERAGE($E$25:$G$25)</f>
        <v>17.8951133053306</v>
      </c>
      <c r="J25" s="16" t="n">
        <f aca="false">AVERAGE($E$25:$G$25)</f>
        <v>17.8951133053306</v>
      </c>
      <c r="K25" s="16" t="n">
        <f aca="false">AVERAGE($E$25:$G$25)</f>
        <v>17.8951133053306</v>
      </c>
      <c r="L25" s="16" t="n">
        <f aca="false">AVERAGE($E$25:$G$25)</f>
        <v>17.8951133053306</v>
      </c>
      <c r="M25" s="6" t="s">
        <v>101</v>
      </c>
    </row>
    <row r="26" customFormat="false" ht="14.25" hidden="false" customHeight="true" outlineLevel="0" collapsed="false">
      <c r="A26" s="13" t="s">
        <v>80</v>
      </c>
      <c r="C26" s="21" t="n">
        <f aca="false">C5*365/'Revenue Model'!C7</f>
        <v>73.3949790030036</v>
      </c>
      <c r="D26" s="21" t="n">
        <f aca="false">D5*365/'Revenue Model'!D7</f>
        <v>72.5066105427582</v>
      </c>
      <c r="E26" s="21" t="n">
        <f aca="false">E5*365/'Revenue Model'!E7</f>
        <v>39.2356209515791</v>
      </c>
      <c r="F26" s="21" t="n">
        <f aca="false">F5*365/'Revenue Model'!F7</f>
        <v>41.5827357548384</v>
      </c>
      <c r="G26" s="21" t="n">
        <f aca="false">G5*365/'Revenue Model'!G7</f>
        <v>59.1870461950639</v>
      </c>
      <c r="H26" s="21" t="n">
        <f aca="false">$G$26</f>
        <v>59.1870461950639</v>
      </c>
      <c r="I26" s="21" t="n">
        <f aca="false">$G$26</f>
        <v>59.1870461950639</v>
      </c>
      <c r="J26" s="21" t="n">
        <f aca="false">$G$26</f>
        <v>59.1870461950639</v>
      </c>
      <c r="K26" s="21" t="n">
        <f aca="false">$G$26</f>
        <v>59.1870461950639</v>
      </c>
      <c r="L26" s="21" t="n">
        <f aca="false">$G$26</f>
        <v>59.1870461950639</v>
      </c>
    </row>
    <row r="27" customFormat="false" ht="14.25" hidden="false" customHeight="true" outlineLevel="0" collapsed="false">
      <c r="A27" s="13" t="s">
        <v>81</v>
      </c>
      <c r="C27" s="16" t="n">
        <f aca="false">C6*365/'Revenue Model'!C7</f>
        <v>26.8178269521909</v>
      </c>
      <c r="D27" s="16" t="n">
        <f aca="false">D6*365/'Revenue Model'!D7</f>
        <v>26.6603967746913</v>
      </c>
      <c r="E27" s="16" t="n">
        <f aca="false">E6*365/'Revenue Model'!E7</f>
        <v>29.0589468821414</v>
      </c>
      <c r="F27" s="16" t="n">
        <f aca="false">F6*365/'Revenue Model'!F7</f>
        <v>25.4052754506515</v>
      </c>
      <c r="G27" s="16" t="n">
        <f aca="false">G6*365/'Revenue Model'!G7</f>
        <v>30.1580574155337</v>
      </c>
      <c r="H27" s="16" t="n">
        <f aca="false">AVERAGE($E$27:$G$27)</f>
        <v>28.2074265827755</v>
      </c>
      <c r="I27" s="16" t="n">
        <f aca="false">AVERAGE($E$27:$G$27)</f>
        <v>28.2074265827755</v>
      </c>
      <c r="J27" s="16" t="n">
        <f aca="false">AVERAGE($E$27:$G$27)</f>
        <v>28.2074265827755</v>
      </c>
      <c r="K27" s="16" t="n">
        <f aca="false">AVERAGE($E$27:$G$27)</f>
        <v>28.2074265827755</v>
      </c>
      <c r="L27" s="16" t="n">
        <f aca="false">AVERAGE($E$27:$G$27)</f>
        <v>28.2074265827755</v>
      </c>
    </row>
    <row r="28" customFormat="false" ht="14.25" hidden="false" customHeight="true" outlineLevel="0" collapsed="false">
      <c r="A28" s="13" t="s">
        <v>82</v>
      </c>
      <c r="C28" s="21" t="n">
        <f aca="false">C7*365/'Revenue Model'!C7</f>
        <v>1.4338650332906</v>
      </c>
      <c r="D28" s="21" t="n">
        <f aca="false">D7*365/'Revenue Model'!D7</f>
        <v>1.46635949441107</v>
      </c>
      <c r="E28" s="21" t="n">
        <f aca="false">E7*365/'Revenue Model'!E7</f>
        <v>2.09970437708112</v>
      </c>
      <c r="F28" s="21" t="n">
        <f aca="false">F7*365/'Revenue Model'!F7</f>
        <v>0.88437736016822</v>
      </c>
      <c r="G28" s="21" t="n">
        <f aca="false">G7*365/'Revenue Model'!G7</f>
        <v>1.69935577231815</v>
      </c>
      <c r="H28" s="21" t="n">
        <f aca="false">$G$28</f>
        <v>1.69935577231815</v>
      </c>
      <c r="I28" s="21" t="n">
        <f aca="false">$G$28</f>
        <v>1.69935577231815</v>
      </c>
      <c r="J28" s="21" t="n">
        <f aca="false">$G$28</f>
        <v>1.69935577231815</v>
      </c>
      <c r="K28" s="21" t="n">
        <f aca="false">$G$28</f>
        <v>1.69935577231815</v>
      </c>
      <c r="L28" s="21" t="n">
        <f aca="false">$G$28</f>
        <v>1.69935577231815</v>
      </c>
    </row>
    <row r="29" customFormat="false" ht="14.25" hidden="false" customHeight="true" outlineLevel="0" collapsed="false">
      <c r="A29" s="13" t="s">
        <v>83</v>
      </c>
      <c r="C29" s="21" t="n">
        <f aca="false">C8*365/'Revenue Model'!C7</f>
        <v>0.468876931211702</v>
      </c>
      <c r="D29" s="21" t="n">
        <f aca="false">D8*365/'Revenue Model'!D7</f>
        <v>0.281735681161696</v>
      </c>
      <c r="E29" s="21" t="n">
        <f aca="false">E8*365/'Revenue Model'!E7</f>
        <v>0.253353642649329</v>
      </c>
      <c r="F29" s="21" t="n">
        <f aca="false">F8*365/'Revenue Model'!F7</f>
        <v>0.237224857642327</v>
      </c>
      <c r="G29" s="21" t="n">
        <f aca="false">G8*365/'Revenue Model'!G7</f>
        <v>0.241439987176047</v>
      </c>
      <c r="H29" s="21" t="n">
        <f aca="false">$G$29</f>
        <v>0.241439987176047</v>
      </c>
      <c r="I29" s="21" t="n">
        <f aca="false">$G$29</f>
        <v>0.241439987176047</v>
      </c>
      <c r="J29" s="21" t="n">
        <f aca="false">$G$29</f>
        <v>0.241439987176047</v>
      </c>
      <c r="K29" s="21" t="n">
        <f aca="false">$G$29</f>
        <v>0.241439987176047</v>
      </c>
      <c r="L29" s="21" t="n">
        <f aca="false">$G$29</f>
        <v>0.241439987176047</v>
      </c>
    </row>
    <row r="30" customFormat="false" ht="14.25" hidden="false" customHeight="true" outlineLevel="0" collapsed="false">
      <c r="A30" s="13" t="s">
        <v>84</v>
      </c>
      <c r="C30" s="21" t="n">
        <f aca="false">C9*365/'Revenue Model'!C7</f>
        <v>4.31185215117062</v>
      </c>
      <c r="D30" s="21" t="n">
        <f aca="false">D9*365/'Revenue Model'!D7</f>
        <v>5.86692014694457</v>
      </c>
      <c r="E30" s="21" t="n">
        <f aca="false">E9*365/'Revenue Model'!E7</f>
        <v>6.1083766267604</v>
      </c>
      <c r="F30" s="21" t="n">
        <f aca="false">F9*365/'Revenue Model'!F7</f>
        <v>4.09087312529539</v>
      </c>
      <c r="G30" s="21" t="n">
        <f aca="false">G9*365/'Revenue Model'!G7</f>
        <v>1.26285510839514</v>
      </c>
      <c r="H30" s="21" t="n">
        <f aca="false">$G$30</f>
        <v>1.26285510839514</v>
      </c>
      <c r="I30" s="21" t="n">
        <f aca="false">$G$30</f>
        <v>1.26285510839514</v>
      </c>
      <c r="J30" s="21" t="n">
        <f aca="false">$G$30</f>
        <v>1.26285510839514</v>
      </c>
      <c r="K30" s="21" t="n">
        <f aca="false">$G$30</f>
        <v>1.26285510839514</v>
      </c>
      <c r="L30" s="21" t="n">
        <f aca="false">$G$30</f>
        <v>1.26285510839514</v>
      </c>
    </row>
    <row r="31" customFormat="false" ht="14.25" hidden="false" customHeight="true" outlineLevel="0" collapsed="false">
      <c r="A31" s="13" t="s">
        <v>85</v>
      </c>
      <c r="C31" s="21" t="n">
        <f aca="false">C10*365/'Revenue Model'!C7</f>
        <v>3.29463561546668</v>
      </c>
      <c r="D31" s="21" t="n">
        <f aca="false">D10*365/'Revenue Model'!D7</f>
        <v>3.37761680712308</v>
      </c>
      <c r="E31" s="21" t="n">
        <f aca="false">E10*365/'Revenue Model'!E7</f>
        <v>2.87931980380803</v>
      </c>
      <c r="F31" s="21" t="n">
        <f aca="false">F10*365/'Revenue Model'!F7</f>
        <v>4.63332214830814</v>
      </c>
      <c r="G31" s="21" t="n">
        <f aca="false">G10*365/'Revenue Model'!G7</f>
        <v>4.12428017990676</v>
      </c>
      <c r="H31" s="21" t="n">
        <f aca="false">AVERAGE($E$31:$G$31)</f>
        <v>3.87897404400764</v>
      </c>
      <c r="I31" s="21" t="n">
        <f aca="false">AVERAGE($E$31:$G$31)</f>
        <v>3.87897404400764</v>
      </c>
      <c r="J31" s="21" t="n">
        <f aca="false">AVERAGE($E$31:$G$31)</f>
        <v>3.87897404400764</v>
      </c>
      <c r="K31" s="21" t="n">
        <f aca="false">AVERAGE($E$31:$G$31)</f>
        <v>3.87897404400764</v>
      </c>
      <c r="L31" s="21" t="n">
        <f aca="false">AVERAGE($E$31:$G$31)</f>
        <v>3.87897404400764</v>
      </c>
    </row>
    <row r="32" customFormat="false" ht="14.25" hidden="false" customHeight="true" outlineLevel="0" collapsed="false">
      <c r="A32" s="13" t="s">
        <v>86</v>
      </c>
      <c r="C32" s="21" t="n">
        <f aca="false">C11*365/'Revenue Model'!C7</f>
        <v>0</v>
      </c>
      <c r="D32" s="21" t="n">
        <f aca="false">D11*365/'Revenue Model'!D7</f>
        <v>0</v>
      </c>
      <c r="E32" s="21" t="n">
        <f aca="false">E11*365/'Revenue Model'!E7</f>
        <v>0</v>
      </c>
      <c r="F32" s="21" t="n">
        <f aca="false">F11*365/'Revenue Model'!F7</f>
        <v>0</v>
      </c>
      <c r="G32" s="21" t="n">
        <f aca="false">G11*365/'Revenue Model'!G7</f>
        <v>1.7670517273483</v>
      </c>
      <c r="H32" s="21" t="n">
        <f aca="false">$G$32</f>
        <v>1.7670517273483</v>
      </c>
      <c r="I32" s="21" t="n">
        <f aca="false">$G$32</f>
        <v>1.7670517273483</v>
      </c>
      <c r="J32" s="21" t="n">
        <f aca="false">$G$32</f>
        <v>1.7670517273483</v>
      </c>
      <c r="K32" s="21" t="n">
        <f aca="false">$G$32</f>
        <v>1.7670517273483</v>
      </c>
      <c r="L32" s="21" t="n">
        <f aca="false">$G$32</f>
        <v>1.7670517273483</v>
      </c>
    </row>
    <row r="33" customFormat="false" ht="14.25" hidden="false" customHeight="true" outlineLevel="0" collapsed="false">
      <c r="A33" s="13" t="s">
        <v>89</v>
      </c>
      <c r="C33" s="21" t="n">
        <f aca="false">C14*365/'Revenue Model'!C7</f>
        <v>3.36195488318654</v>
      </c>
      <c r="D33" s="21" t="n">
        <f aca="false">D14*365/'Revenue Model'!D7</f>
        <v>3.91922617226733</v>
      </c>
      <c r="E33" s="21" t="n">
        <f aca="false">E14*365/'Revenue Model'!E7</f>
        <v>3.13245973608819</v>
      </c>
      <c r="F33" s="21" t="n">
        <f aca="false">F14*365/'Revenue Model'!F7</f>
        <v>3.51036767153709</v>
      </c>
      <c r="G33" s="21" t="n">
        <f aca="false">G14*365/'Revenue Model'!G7</f>
        <v>4.07388727530593</v>
      </c>
      <c r="H33" s="21" t="n">
        <f aca="false">$G$33</f>
        <v>4.07388727530593</v>
      </c>
      <c r="I33" s="21" t="n">
        <f aca="false">$G$33</f>
        <v>4.07388727530593</v>
      </c>
      <c r="J33" s="21" t="n">
        <f aca="false">$G$33</f>
        <v>4.07388727530593</v>
      </c>
      <c r="K33" s="21" t="n">
        <f aca="false">$G$33</f>
        <v>4.07388727530593</v>
      </c>
      <c r="L33" s="21" t="n">
        <f aca="false">$G$33</f>
        <v>4.07388727530593</v>
      </c>
    </row>
    <row r="34" customFormat="false" ht="14.25" hidden="false" customHeight="true" outlineLevel="0" collapsed="false">
      <c r="A34" s="13" t="s">
        <v>91</v>
      </c>
      <c r="C34" s="21" t="n">
        <f aca="false">C15*365/'Revenue Model'!C7</f>
        <v>0.348621847018607</v>
      </c>
      <c r="D34" s="21" t="n">
        <f aca="false">D15*365/'Revenue Model'!D7</f>
        <v>0.446874044034641</v>
      </c>
      <c r="E34" s="21" t="n">
        <f aca="false">E15*365/'Revenue Model'!E7</f>
        <v>0.370039504215364</v>
      </c>
      <c r="F34" s="21" t="n">
        <f aca="false">F15*365/'Revenue Model'!F7</f>
        <v>0.423546824414334</v>
      </c>
      <c r="G34" s="21" t="n">
        <f aca="false">G15*365/'Revenue Model'!G7</f>
        <v>0.418840849567314</v>
      </c>
      <c r="H34" s="21" t="n">
        <f aca="false">$G$34</f>
        <v>0.418840849567314</v>
      </c>
      <c r="I34" s="21" t="n">
        <f aca="false">$G$34</f>
        <v>0.418840849567314</v>
      </c>
      <c r="J34" s="21" t="n">
        <f aca="false">$G$34</f>
        <v>0.418840849567314</v>
      </c>
      <c r="K34" s="21" t="n">
        <f aca="false">$G$34</f>
        <v>0.418840849567314</v>
      </c>
      <c r="L34" s="21" t="n">
        <f aca="false">$G$34</f>
        <v>0.418840849567314</v>
      </c>
    </row>
    <row r="35" customFormat="false" ht="14.25" hidden="false" customHeight="true" outlineLevel="0" collapsed="false">
      <c r="A35" s="13" t="s">
        <v>92</v>
      </c>
      <c r="C35" s="16" t="n">
        <f aca="false">C16*365/('P&amp;L'!C10+'P&amp;L'!C11+'P&amp;L'!C12)</f>
        <v>88.3673732190745</v>
      </c>
      <c r="D35" s="16" t="n">
        <f aca="false">D16*365/('P&amp;L'!D10+'P&amp;L'!D11+'P&amp;L'!D12)</f>
        <v>75.7744058897648</v>
      </c>
      <c r="E35" s="16" t="n">
        <f aca="false">E16*365/('P&amp;L'!E10+'P&amp;L'!E11+'P&amp;L'!E12)</f>
        <v>72.5630188401869</v>
      </c>
      <c r="F35" s="16" t="n">
        <f aca="false">F16*365/('P&amp;L'!F10+'P&amp;L'!F11+'P&amp;L'!F12)</f>
        <v>80.4548629840561</v>
      </c>
      <c r="G35" s="16" t="n">
        <f aca="false">G16*365/('P&amp;L'!G10+'P&amp;L'!G11+'P&amp;L'!G12)</f>
        <v>77.3068161886897</v>
      </c>
      <c r="H35" s="16" t="n">
        <f aca="false">AVERAGE($E$35:$G$35)</f>
        <v>76.7748993376442</v>
      </c>
      <c r="I35" s="16" t="n">
        <f aca="false">AVERAGE($E$35:$G$35)</f>
        <v>76.7748993376442</v>
      </c>
      <c r="J35" s="16" t="n">
        <f aca="false">AVERAGE($E$35:$G$35)</f>
        <v>76.7748993376442</v>
      </c>
      <c r="K35" s="16" t="n">
        <f aca="false">AVERAGE($E$35:$G$35)</f>
        <v>76.7748993376442</v>
      </c>
      <c r="L35" s="16" t="n">
        <f aca="false">AVERAGE($E$35:$G$35)</f>
        <v>76.7748993376442</v>
      </c>
      <c r="M35" s="6" t="s">
        <v>102</v>
      </c>
    </row>
    <row r="36" customFormat="false" ht="14.25" hidden="false" customHeight="true" outlineLevel="0" collapsed="false">
      <c r="A36" s="13" t="s">
        <v>93</v>
      </c>
      <c r="C36" s="21" t="n">
        <f aca="false">C17*365/'Revenue Model'!C7</f>
        <v>2.11283467041612</v>
      </c>
      <c r="D36" s="21" t="n">
        <f aca="false">D17*365/'Revenue Model'!D7</f>
        <v>1.79811838945724</v>
      </c>
      <c r="E36" s="21" t="n">
        <f aca="false">E17*365/'Revenue Model'!E7</f>
        <v>1.81579015164068</v>
      </c>
      <c r="F36" s="21" t="n">
        <f aca="false">F17*365/'Revenue Model'!F7</f>
        <v>2.4620772073709</v>
      </c>
      <c r="G36" s="21" t="n">
        <f aca="false">G17*365/'Revenue Model'!G7</f>
        <v>2.52356963323202</v>
      </c>
      <c r="H36" s="21" t="n">
        <f aca="false">$G$36</f>
        <v>2.52356963323202</v>
      </c>
      <c r="I36" s="21" t="n">
        <f aca="false">$G$36</f>
        <v>2.52356963323202</v>
      </c>
      <c r="J36" s="21" t="n">
        <f aca="false">$G$36</f>
        <v>2.52356963323202</v>
      </c>
      <c r="K36" s="21" t="n">
        <f aca="false">$G$36</f>
        <v>2.52356963323202</v>
      </c>
      <c r="L36" s="21" t="n">
        <f aca="false">$G$36</f>
        <v>2.52356963323202</v>
      </c>
    </row>
    <row r="37" customFormat="false" ht="14.25" hidden="false" customHeight="true" outlineLevel="0" collapsed="false">
      <c r="A37" s="13" t="s">
        <v>94</v>
      </c>
      <c r="C37" s="16" t="n">
        <f aca="false">C18*365/'Revenue Model'!C7</f>
        <v>6.72709298918996</v>
      </c>
      <c r="D37" s="16" t="n">
        <f aca="false">D18*365/'Revenue Model'!D7</f>
        <v>6.13025222596111</v>
      </c>
      <c r="E37" s="16" t="n">
        <f aca="false">E18*365/'Revenue Model'!E7</f>
        <v>6.00622307029783</v>
      </c>
      <c r="F37" s="16" t="n">
        <f aca="false">F18*365/'Revenue Model'!F7</f>
        <v>5.8325826664218</v>
      </c>
      <c r="G37" s="16" t="n">
        <f aca="false">G18*365/'Revenue Model'!G7</f>
        <v>6.85138363313721</v>
      </c>
      <c r="H37" s="16" t="n">
        <f aca="false">AVERAGE($E$37:$G$37)</f>
        <v>6.23006312328561</v>
      </c>
      <c r="I37" s="16" t="n">
        <f aca="false">AVERAGE($E$37:$G$37)</f>
        <v>6.23006312328561</v>
      </c>
      <c r="J37" s="16" t="n">
        <f aca="false">AVERAGE($E$37:$G$37)</f>
        <v>6.23006312328561</v>
      </c>
      <c r="K37" s="16" t="n">
        <f aca="false">AVERAGE($E$37:$G$37)</f>
        <v>6.23006312328561</v>
      </c>
      <c r="L37" s="16" t="n">
        <f aca="false">AVERAGE($E$37:$G$37)</f>
        <v>6.23006312328561</v>
      </c>
    </row>
    <row r="38" customFormat="false" ht="14.25" hidden="false" customHeight="true" outlineLevel="0" collapsed="false">
      <c r="A38" s="13" t="s">
        <v>95</v>
      </c>
      <c r="C38" s="16" t="n">
        <f aca="false">C19*365/'Revenue Model'!C7</f>
        <v>2.07286753949312</v>
      </c>
      <c r="D38" s="16" t="n">
        <f aca="false">D19*365/'Revenue Model'!D7</f>
        <v>2.21275525121078</v>
      </c>
      <c r="E38" s="16" t="n">
        <f aca="false">E19*365/'Revenue Model'!E7</f>
        <v>2.05888569656992</v>
      </c>
      <c r="F38" s="16" t="n">
        <f aca="false">F19*365/'Revenue Model'!F7</f>
        <v>1.54002977616012</v>
      </c>
      <c r="G38" s="16" t="n">
        <f aca="false">G19*365/'Revenue Model'!G7</f>
        <v>1.97549105133442</v>
      </c>
      <c r="H38" s="16" t="n">
        <f aca="false">AVERAGE($E$38:$G$38)</f>
        <v>1.85813550802149</v>
      </c>
      <c r="I38" s="16" t="n">
        <f aca="false">AVERAGE($E$38:$G$38)</f>
        <v>1.85813550802149</v>
      </c>
      <c r="J38" s="16" t="n">
        <f aca="false">AVERAGE($E$38:$G$38)</f>
        <v>1.85813550802149</v>
      </c>
      <c r="K38" s="16" t="n">
        <f aca="false">AVERAGE($E$38:$G$38)</f>
        <v>1.85813550802149</v>
      </c>
      <c r="L38" s="16" t="n">
        <f aca="false">AVERAGE($E$38:$G$38)</f>
        <v>1.85813550802149</v>
      </c>
    </row>
    <row r="41" customFormat="false" ht="14.25" hidden="false" customHeight="true" outlineLevel="0" collapsed="false">
      <c r="A41" s="35" t="s">
        <v>103</v>
      </c>
      <c r="B41" s="36"/>
      <c r="C41" s="37" t="s">
        <v>26</v>
      </c>
      <c r="D41" s="37" t="s">
        <v>27</v>
      </c>
      <c r="E41" s="37" t="s">
        <v>28</v>
      </c>
      <c r="F41" s="37" t="s">
        <v>29</v>
      </c>
      <c r="G41" s="37" t="s">
        <v>30</v>
      </c>
      <c r="H41" s="37" t="s">
        <v>31</v>
      </c>
      <c r="I41" s="37" t="s">
        <v>32</v>
      </c>
      <c r="J41" s="37" t="s">
        <v>33</v>
      </c>
      <c r="K41" s="37" t="s">
        <v>34</v>
      </c>
      <c r="L41" s="37" t="s">
        <v>35</v>
      </c>
    </row>
    <row r="42" customFormat="false" ht="14.25" hidden="false" customHeight="true" outlineLevel="0" collapsed="false">
      <c r="A42" s="13" t="s">
        <v>104</v>
      </c>
      <c r="C42" s="21" t="n">
        <f aca="false">'Balance Sheet'!C40</f>
        <v>45.18</v>
      </c>
      <c r="D42" s="21" t="n">
        <f aca="false">'Balance Sheet'!D40</f>
        <v>36.17</v>
      </c>
      <c r="E42" s="21" t="n">
        <f aca="false">'Balance Sheet'!E40</f>
        <v>20.09</v>
      </c>
      <c r="F42" s="21" t="n">
        <v>20.88</v>
      </c>
      <c r="G42" s="21" t="n">
        <v>11.6</v>
      </c>
      <c r="H42" s="21" t="n">
        <f aca="false">G42+H54</f>
        <v>12.18</v>
      </c>
      <c r="I42" s="21" t="n">
        <f aca="false">H42+I54</f>
        <v>12.789</v>
      </c>
      <c r="J42" s="21" t="n">
        <f aca="false">I42+J54</f>
        <v>13.42845</v>
      </c>
      <c r="K42" s="21" t="n">
        <f aca="false">J42+K54</f>
        <v>14.0998725</v>
      </c>
      <c r="L42" s="21" t="n">
        <f aca="false">K42+L54</f>
        <v>14.804866125</v>
      </c>
    </row>
    <row r="43" customFormat="false" ht="14.25" hidden="false" customHeight="true" outlineLevel="0" collapsed="false">
      <c r="A43" s="13" t="s">
        <v>105</v>
      </c>
      <c r="C43" s="21" t="n">
        <f aca="false">'Balance Sheet'!C48</f>
        <v>285.16</v>
      </c>
      <c r="D43" s="21" t="n">
        <f aca="false">'Balance Sheet'!D48</f>
        <v>317.31</v>
      </c>
      <c r="E43" s="21" t="n">
        <f aca="false">'Balance Sheet'!E48</f>
        <v>293.15</v>
      </c>
      <c r="F43" s="21" t="n">
        <f aca="false">'Balance Sheet'!F48</f>
        <v>363.43</v>
      </c>
      <c r="G43" s="21" t="n">
        <f aca="false">'Balance Sheet'!G48</f>
        <v>456.76</v>
      </c>
      <c r="H43" s="21" t="n">
        <f aca="false">H14</f>
        <v>456.76</v>
      </c>
      <c r="I43" s="21" t="n">
        <f aca="false">I14</f>
        <v>456.76</v>
      </c>
      <c r="J43" s="21" t="n">
        <f aca="false">J14</f>
        <v>456.76</v>
      </c>
      <c r="K43" s="21" t="n">
        <f aca="false">K14</f>
        <v>456.76</v>
      </c>
      <c r="L43" s="21" t="n">
        <f aca="false">L14</f>
        <v>456.76</v>
      </c>
    </row>
    <row r="44" customFormat="false" ht="14.25" hidden="false" customHeight="true" outlineLevel="0" collapsed="false">
      <c r="A44" s="38" t="s">
        <v>106</v>
      </c>
      <c r="C44" s="39" t="n">
        <f aca="false">C42+C43</f>
        <v>330.34</v>
      </c>
      <c r="D44" s="39" t="n">
        <f aca="false">D42+D43</f>
        <v>353.48</v>
      </c>
      <c r="E44" s="39" t="n">
        <f aca="false">E42+E43</f>
        <v>313.24</v>
      </c>
      <c r="F44" s="39" t="n">
        <f aca="false">F42+F43</f>
        <v>384.31</v>
      </c>
      <c r="G44" s="39" t="n">
        <f aca="false">G42+G43</f>
        <v>468.36</v>
      </c>
      <c r="H44" s="39" t="n">
        <f aca="false">H42+H43</f>
        <v>468.94</v>
      </c>
      <c r="I44" s="39" t="n">
        <f aca="false">I42+I43</f>
        <v>469.549</v>
      </c>
      <c r="J44" s="39" t="n">
        <f aca="false">J42+J43</f>
        <v>470.18845</v>
      </c>
      <c r="K44" s="39" t="n">
        <f aca="false">K42+K43</f>
        <v>470.8598725</v>
      </c>
      <c r="L44" s="39" t="n">
        <f aca="false">L42+L43</f>
        <v>471.564866125</v>
      </c>
    </row>
    <row r="45" customFormat="false" ht="14.25" hidden="false" customHeight="true" outlineLevel="0" collapsed="false">
      <c r="A45" s="13" t="s">
        <v>107</v>
      </c>
      <c r="C45" s="21" t="n">
        <f aca="false">'Balance Sheet'!C41</f>
        <v>212.42</v>
      </c>
      <c r="D45" s="21" t="n">
        <f aca="false">'Balance Sheet'!D41</f>
        <v>215.51</v>
      </c>
      <c r="E45" s="21" t="n">
        <f aca="false">'Balance Sheet'!E41</f>
        <v>219.67</v>
      </c>
      <c r="F45" s="21" t="n">
        <f aca="false">'Balance Sheet'!F41</f>
        <v>199.13</v>
      </c>
      <c r="G45" s="21" t="n">
        <f aca="false">'Balance Sheet'!G41</f>
        <v>196.21</v>
      </c>
      <c r="H45" s="21" t="n">
        <f aca="false">G45+H57</f>
        <v>206.0205</v>
      </c>
      <c r="I45" s="21" t="n">
        <f aca="false">H45+I57</f>
        <v>216.321525</v>
      </c>
      <c r="J45" s="21" t="n">
        <f aca="false">I45+J57</f>
        <v>227.13760125</v>
      </c>
      <c r="K45" s="21" t="n">
        <f aca="false">J45+K57</f>
        <v>238.4944813125</v>
      </c>
      <c r="L45" s="21" t="n">
        <f aca="false">K45+L57</f>
        <v>250.419205378125</v>
      </c>
    </row>
    <row r="46" customFormat="false" ht="14.25" hidden="false" customHeight="true" outlineLevel="0" collapsed="false">
      <c r="A46" s="13" t="s">
        <v>108</v>
      </c>
      <c r="C46" s="21" t="n">
        <f aca="false">'Balance Sheet'!C49</f>
        <v>29.57</v>
      </c>
      <c r="D46" s="21" t="n">
        <f aca="false">'Balance Sheet'!D49</f>
        <v>36.18</v>
      </c>
      <c r="E46" s="21" t="n">
        <f aca="false">'Balance Sheet'!E49</f>
        <v>34.63</v>
      </c>
      <c r="F46" s="21" t="n">
        <f aca="false">'Balance Sheet'!F49</f>
        <v>43.85</v>
      </c>
      <c r="G46" s="21" t="n">
        <f aca="false">'Balance Sheet'!G49</f>
        <v>46.96</v>
      </c>
      <c r="H46" s="21" t="n">
        <f aca="false">H15</f>
        <v>46.96</v>
      </c>
      <c r="I46" s="21" t="n">
        <f aca="false">I15</f>
        <v>46.96</v>
      </c>
      <c r="J46" s="21" t="n">
        <f aca="false">J15</f>
        <v>46.96</v>
      </c>
      <c r="K46" s="21" t="n">
        <f aca="false">K15</f>
        <v>46.96</v>
      </c>
      <c r="L46" s="21" t="n">
        <f aca="false">L15</f>
        <v>46.96</v>
      </c>
    </row>
    <row r="47" customFormat="false" ht="14.25" hidden="false" customHeight="true" outlineLevel="0" collapsed="false">
      <c r="A47" s="38" t="s">
        <v>109</v>
      </c>
      <c r="C47" s="39" t="n">
        <f aca="false">C45+C46</f>
        <v>241.99</v>
      </c>
      <c r="D47" s="39" t="n">
        <f aca="false">D45+D46</f>
        <v>251.69</v>
      </c>
      <c r="E47" s="39" t="n">
        <f aca="false">E45+E46</f>
        <v>254.3</v>
      </c>
      <c r="F47" s="39" t="n">
        <f aca="false">F45+F46</f>
        <v>242.98</v>
      </c>
      <c r="G47" s="39" t="n">
        <f aca="false">G45+G46</f>
        <v>243.17</v>
      </c>
      <c r="H47" s="39" t="n">
        <f aca="false">H45+H46</f>
        <v>252.9805</v>
      </c>
      <c r="I47" s="39" t="n">
        <f aca="false">I45+I46</f>
        <v>263.281525</v>
      </c>
      <c r="J47" s="39" t="n">
        <f aca="false">J45+J46</f>
        <v>274.09760125</v>
      </c>
      <c r="K47" s="39" t="n">
        <f aca="false">K45+K46</f>
        <v>285.4544813125</v>
      </c>
      <c r="L47" s="39" t="n">
        <f aca="false">L45+L46</f>
        <v>297.379205378125</v>
      </c>
    </row>
    <row r="48" customFormat="false" ht="14.25" hidden="false" customHeight="true" outlineLevel="0" collapsed="false">
      <c r="A48" s="38" t="s">
        <v>110</v>
      </c>
      <c r="C48" s="39" t="n">
        <f aca="false">C44+C47</f>
        <v>572.33</v>
      </c>
      <c r="D48" s="39" t="n">
        <f aca="false">D44+D47</f>
        <v>605.17</v>
      </c>
      <c r="E48" s="39" t="n">
        <f aca="false">E44+E47</f>
        <v>567.54</v>
      </c>
      <c r="F48" s="39" t="n">
        <f aca="false">F44+F47</f>
        <v>627.29</v>
      </c>
      <c r="G48" s="39" t="n">
        <f aca="false">G44+G47</f>
        <v>711.53</v>
      </c>
      <c r="H48" s="39" t="n">
        <f aca="false">H44+H47</f>
        <v>721.9205</v>
      </c>
      <c r="I48" s="39" t="n">
        <f aca="false">I44+I47</f>
        <v>732.830525</v>
      </c>
      <c r="J48" s="39" t="n">
        <f aca="false">J44+J47</f>
        <v>744.28605125</v>
      </c>
      <c r="K48" s="39" t="n">
        <f aca="false">K44+K47</f>
        <v>756.3143538125</v>
      </c>
      <c r="L48" s="39" t="n">
        <f aca="false">L44+L47</f>
        <v>768.944071503125</v>
      </c>
    </row>
    <row r="50" customFormat="false" ht="14.25" hidden="false" customHeight="true" outlineLevel="0" collapsed="false">
      <c r="A50" s="24" t="s">
        <v>111</v>
      </c>
      <c r="C50" s="21" t="n">
        <f aca="false">'P&amp;L'!C15</f>
        <v>46.41</v>
      </c>
      <c r="D50" s="21" t="n">
        <f aca="false">'P&amp;L'!D15</f>
        <v>53.1</v>
      </c>
      <c r="E50" s="21" t="n">
        <f aca="false">'P&amp;L'!E15</f>
        <v>104.88</v>
      </c>
      <c r="F50" s="21" t="n">
        <f aca="false">'P&amp;L'!F15</f>
        <v>76.37</v>
      </c>
      <c r="G50" s="21" t="n">
        <f aca="false">'P&amp;L'!G15</f>
        <v>70.65</v>
      </c>
      <c r="H50" s="21" t="n">
        <f aca="false">H51*AVERAGE(G48:H48)</f>
        <v>83.6328006341892</v>
      </c>
      <c r="I50" s="21" t="n">
        <f aca="false">I51*AVERAGE(H48:I48)</f>
        <v>80.8216363810353</v>
      </c>
      <c r="J50" s="21" t="n">
        <f aca="false">J51*AVERAGE(I48:J48)</f>
        <v>84.1223203776384</v>
      </c>
      <c r="K50" s="21" t="n">
        <f aca="false">K51*AVERAGE(J48:K48)</f>
        <v>84.4143121635612</v>
      </c>
      <c r="L50" s="21" t="n">
        <f aca="false">L51*AVERAGE(K48:L48)</f>
        <v>86.3327164131695</v>
      </c>
    </row>
    <row r="51" customFormat="false" ht="14.25" hidden="false" customHeight="true" outlineLevel="0" collapsed="false">
      <c r="A51" s="13" t="s">
        <v>112</v>
      </c>
      <c r="C51" s="16" t="n">
        <f aca="false">'P&amp;L'!C15/C48</f>
        <v>0.0810895811856796</v>
      </c>
      <c r="D51" s="16" t="n">
        <f aca="false">'P&amp;L'!D15/AVERAGE(C48:D48)</f>
        <v>0.0901910828025478</v>
      </c>
      <c r="E51" s="16" t="n">
        <f aca="false">'P&amp;L'!E15/AVERAGE(D48:E48)</f>
        <v>0.178867750765321</v>
      </c>
      <c r="F51" s="16" t="n">
        <f aca="false">'P&amp;L'!F15/AVERAGE(E48:F48)</f>
        <v>0.127834085183666</v>
      </c>
      <c r="G51" s="16" t="n">
        <f aca="false">'P&amp;L'!G15/AVERAGE(F48:G48)</f>
        <v>0.10554070001942</v>
      </c>
      <c r="H51" s="40" t="n">
        <f aca="false">AVERAGE(F51:G51)</f>
        <v>0.116687392601543</v>
      </c>
      <c r="I51" s="40" t="n">
        <f aca="false">AVERAGE(G51:H51)</f>
        <v>0.111114046310482</v>
      </c>
      <c r="J51" s="40" t="n">
        <f aca="false">AVERAGE(H51:I51)</f>
        <v>0.113900719456012</v>
      </c>
      <c r="K51" s="40" t="n">
        <f aca="false">AVERAGE(I51:J51)</f>
        <v>0.112507382883247</v>
      </c>
      <c r="L51" s="40" t="n">
        <f aca="false">AVERAGE(J51:K51)</f>
        <v>0.11320405116963</v>
      </c>
      <c r="M51" s="6" t="s">
        <v>113</v>
      </c>
    </row>
    <row r="52" customFormat="false" ht="14.25" hidden="false" customHeight="true" outlineLevel="0" collapsed="false">
      <c r="A52" s="13" t="s">
        <v>114</v>
      </c>
      <c r="H52" s="21" t="n">
        <f aca="false">G42*10%</f>
        <v>1.16</v>
      </c>
      <c r="I52" s="21" t="n">
        <f aca="false">H42*10%</f>
        <v>1.218</v>
      </c>
      <c r="J52" s="21" t="n">
        <f aca="false">I42*10%</f>
        <v>1.2789</v>
      </c>
      <c r="K52" s="21" t="n">
        <f aca="false">J42*10%</f>
        <v>1.342845</v>
      </c>
      <c r="L52" s="21" t="n">
        <f aca="false">K42*10%</f>
        <v>1.40998725</v>
      </c>
    </row>
    <row r="53" customFormat="false" ht="14.25" hidden="false" customHeight="true" outlineLevel="0" collapsed="false">
      <c r="A53" s="13" t="s">
        <v>115</v>
      </c>
      <c r="H53" s="21" t="n">
        <f aca="false">G42*5%</f>
        <v>0.58</v>
      </c>
      <c r="I53" s="21" t="n">
        <f aca="false">H42*5%</f>
        <v>0.609</v>
      </c>
      <c r="J53" s="21" t="n">
        <f aca="false">I42*5%</f>
        <v>0.63945</v>
      </c>
      <c r="K53" s="21" t="n">
        <f aca="false">J42*5%</f>
        <v>0.6714225</v>
      </c>
      <c r="L53" s="21" t="n">
        <f aca="false">K42*5%</f>
        <v>0.704993625</v>
      </c>
    </row>
    <row r="54" customFormat="false" ht="14.25" hidden="false" customHeight="true" outlineLevel="0" collapsed="false">
      <c r="A54" s="13" t="s">
        <v>116</v>
      </c>
      <c r="H54" s="21" t="n">
        <f aca="false">H52-H53</f>
        <v>0.58</v>
      </c>
      <c r="I54" s="21" t="n">
        <f aca="false">I52-I53</f>
        <v>0.609</v>
      </c>
      <c r="J54" s="21" t="n">
        <f aca="false">J52-J53</f>
        <v>0.63945</v>
      </c>
      <c r="K54" s="21" t="n">
        <f aca="false">K52-K53</f>
        <v>0.6714225</v>
      </c>
      <c r="L54" s="21" t="n">
        <f aca="false">L52-L53</f>
        <v>0.704993625</v>
      </c>
    </row>
    <row r="55" customFormat="false" ht="14.25" hidden="false" customHeight="true" outlineLevel="0" collapsed="false">
      <c r="A55" s="13" t="s">
        <v>117</v>
      </c>
      <c r="H55" s="21" t="n">
        <f aca="false">G45*10%</f>
        <v>19.621</v>
      </c>
      <c r="I55" s="21" t="n">
        <f aca="false">H45*10%</f>
        <v>20.60205</v>
      </c>
      <c r="J55" s="21" t="n">
        <f aca="false">I45*10%</f>
        <v>21.6321525</v>
      </c>
      <c r="K55" s="21" t="n">
        <f aca="false">J45*10%</f>
        <v>22.713760125</v>
      </c>
      <c r="L55" s="21" t="n">
        <f aca="false">K45*10%</f>
        <v>23.84944813125</v>
      </c>
    </row>
    <row r="56" customFormat="false" ht="14.25" hidden="false" customHeight="true" outlineLevel="0" collapsed="false">
      <c r="A56" s="13" t="s">
        <v>118</v>
      </c>
      <c r="H56" s="21" t="n">
        <f aca="false">G45*5%</f>
        <v>9.8105</v>
      </c>
      <c r="I56" s="21" t="n">
        <f aca="false">H45*5%</f>
        <v>10.301025</v>
      </c>
      <c r="J56" s="21" t="n">
        <f aca="false">I45*5%</f>
        <v>10.81607625</v>
      </c>
      <c r="K56" s="21" t="n">
        <f aca="false">J45*5%</f>
        <v>11.3568800625</v>
      </c>
      <c r="L56" s="21" t="n">
        <f aca="false">K45*5%</f>
        <v>11.924724065625</v>
      </c>
    </row>
    <row r="57" customFormat="false" ht="14.25" hidden="false" customHeight="true" outlineLevel="0" collapsed="false">
      <c r="A57" s="13" t="s">
        <v>119</v>
      </c>
      <c r="H57" s="21" t="n">
        <f aca="false">H55-H56</f>
        <v>9.8105</v>
      </c>
      <c r="I57" s="21" t="n">
        <f aca="false">I55-I56</f>
        <v>10.301025</v>
      </c>
      <c r="J57" s="21" t="n">
        <f aca="false">J55-J56</f>
        <v>10.81607625</v>
      </c>
      <c r="K57" s="21" t="n">
        <f aca="false">K55-K56</f>
        <v>11.3568800625</v>
      </c>
      <c r="L57" s="21" t="n">
        <f aca="false">L55-L56</f>
        <v>11.924724065625</v>
      </c>
    </row>
    <row r="60" customFormat="false" ht="14.25" hidden="false" customHeight="true" outlineLevel="0" collapsed="false">
      <c r="A60" s="41" t="s">
        <v>120</v>
      </c>
      <c r="B60" s="42"/>
      <c r="C60" s="43" t="s">
        <v>26</v>
      </c>
      <c r="D60" s="43" t="s">
        <v>27</v>
      </c>
      <c r="E60" s="43" t="s">
        <v>28</v>
      </c>
      <c r="F60" s="43" t="s">
        <v>29</v>
      </c>
      <c r="G60" s="43" t="s">
        <v>30</v>
      </c>
      <c r="H60" s="43" t="s">
        <v>31</v>
      </c>
      <c r="I60" s="43" t="s">
        <v>32</v>
      </c>
      <c r="J60" s="43" t="s">
        <v>33</v>
      </c>
      <c r="K60" s="43" t="s">
        <v>34</v>
      </c>
      <c r="L60" s="43" t="s">
        <v>35</v>
      </c>
    </row>
    <row r="61" customFormat="false" ht="14.25" hidden="false" customHeight="true" outlineLevel="0" collapsed="false">
      <c r="A61" s="13" t="s">
        <v>121</v>
      </c>
      <c r="C61" s="44" t="n">
        <v>9736.53</v>
      </c>
      <c r="D61" s="44" t="n">
        <v>10414.64</v>
      </c>
      <c r="E61" s="44" t="n">
        <v>10653.19</v>
      </c>
      <c r="F61" s="44" t="n">
        <v>11174.48</v>
      </c>
      <c r="G61" s="44" t="n">
        <v>11699.01</v>
      </c>
      <c r="H61" s="21" t="n">
        <f aca="false">G61+H81</f>
        <v>12664.689</v>
      </c>
      <c r="I61" s="21" t="n">
        <f aca="false">H61+I81</f>
        <v>13662.4206171951</v>
      </c>
      <c r="J61" s="21" t="n">
        <f aca="false">I61+J81</f>
        <v>14752.5470686901</v>
      </c>
      <c r="K61" s="21" t="n">
        <f aca="false">J61+K81</f>
        <v>15932.495851135</v>
      </c>
      <c r="L61" s="21" t="n">
        <f aca="false">K61+L81</f>
        <v>17199.6261672589</v>
      </c>
      <c r="M61" s="1" t="s">
        <v>122</v>
      </c>
    </row>
    <row r="62" customFormat="false" ht="14.25" hidden="false" customHeight="true" outlineLevel="0" collapsed="false">
      <c r="A62" s="13" t="s">
        <v>123</v>
      </c>
      <c r="C62" s="44" t="n">
        <v>4443.13</v>
      </c>
      <c r="D62" s="44" t="n">
        <v>5060.3</v>
      </c>
      <c r="E62" s="44" t="n">
        <v>5493.77</v>
      </c>
      <c r="F62" s="44" t="n">
        <v>5961.9</v>
      </c>
      <c r="G62" s="44" t="n">
        <v>6479.88</v>
      </c>
      <c r="H62" s="21" t="n">
        <f aca="false">G62+H71</f>
        <v>7247.36585938083</v>
      </c>
      <c r="I62" s="21" t="n">
        <f aca="false">H62+I71</f>
        <v>8085.92466822316</v>
      </c>
      <c r="J62" s="21" t="n">
        <f aca="false">I62+J71</f>
        <v>8993.57757779614</v>
      </c>
      <c r="K62" s="21" t="n">
        <f aca="false">J62+K71</f>
        <v>9968.29320558375</v>
      </c>
      <c r="L62" s="21" t="n">
        <f aca="false">K62+L71</f>
        <v>11023.6559751182</v>
      </c>
      <c r="M62" s="1" t="s">
        <v>124</v>
      </c>
    </row>
    <row r="63" s="46" customFormat="true" ht="14.25" hidden="false" customHeight="true" outlineLevel="0" collapsed="false">
      <c r="A63" s="45" t="s">
        <v>125</v>
      </c>
      <c r="C63" s="47" t="n">
        <f aca="false">C61-C62</f>
        <v>5293.4</v>
      </c>
      <c r="D63" s="47" t="n">
        <f aca="false">D61-D62</f>
        <v>5354.34</v>
      </c>
      <c r="E63" s="47" t="n">
        <f aca="false">E61-E62</f>
        <v>5159.42</v>
      </c>
      <c r="F63" s="47" t="n">
        <f aca="false">F61-F62</f>
        <v>5212.58</v>
      </c>
      <c r="G63" s="47" t="n">
        <f aca="false">G61-G62</f>
        <v>5219.13</v>
      </c>
      <c r="H63" s="47" t="n">
        <f aca="false">H61-H62</f>
        <v>5417.32314061917</v>
      </c>
      <c r="I63" s="47" t="n">
        <f aca="false">I61-I62</f>
        <v>5576.49594897191</v>
      </c>
      <c r="J63" s="47" t="n">
        <f aca="false">J61-J62</f>
        <v>5758.96949089397</v>
      </c>
      <c r="K63" s="47" t="n">
        <f aca="false">K61-K62</f>
        <v>5964.20264555124</v>
      </c>
      <c r="L63" s="47" t="n">
        <f aca="false">L61-L62</f>
        <v>6175.97019214071</v>
      </c>
    </row>
    <row r="64" customFormat="false" ht="14.25" hidden="false" customHeight="true" outlineLevel="0" collapsed="false">
      <c r="A64" s="13" t="s">
        <v>126</v>
      </c>
      <c r="C64" s="44" t="n">
        <v>4094.9</v>
      </c>
      <c r="D64" s="44" t="n">
        <v>4145.51</v>
      </c>
      <c r="E64" s="44" t="n">
        <v>4468</v>
      </c>
      <c r="F64" s="44" t="n">
        <v>4625.09</v>
      </c>
      <c r="G64" s="44" t="n">
        <v>4830.16</v>
      </c>
      <c r="H64" s="21" t="n">
        <f aca="false">G64+H84</f>
        <v>4849.504</v>
      </c>
      <c r="I64" s="21" t="n">
        <f aca="false">H64+I84</f>
        <v>4871.45273192102</v>
      </c>
      <c r="J64" s="21" t="n">
        <f aca="false">I64+J84</f>
        <v>4892.66078720818</v>
      </c>
      <c r="K64" s="21" t="n">
        <f aca="false">J64+K84</f>
        <v>4913.80022702603</v>
      </c>
      <c r="L64" s="21" t="n">
        <f aca="false">K64+L84</f>
        <v>4935.42088259711</v>
      </c>
      <c r="M64" s="1" t="s">
        <v>127</v>
      </c>
    </row>
    <row r="65" customFormat="false" ht="14.25" hidden="false" customHeight="true" outlineLevel="0" collapsed="false">
      <c r="A65" s="13" t="s">
        <v>128</v>
      </c>
      <c r="C65" s="44" t="n">
        <v>3804.64</v>
      </c>
      <c r="D65" s="44" t="n">
        <v>3847.01</v>
      </c>
      <c r="E65" s="44" t="n">
        <v>3949.5</v>
      </c>
      <c r="F65" s="44" t="n">
        <v>4081.44</v>
      </c>
      <c r="G65" s="44" t="n">
        <v>4249.7</v>
      </c>
      <c r="H65" s="21" t="n">
        <f aca="false">G65+H73</f>
        <v>4266.58363993925</v>
      </c>
      <c r="I65" s="21" t="n">
        <f aca="false">H65+I73</f>
        <v>4282.89752862168</v>
      </c>
      <c r="J65" s="21" t="n">
        <f aca="false">I65+J73</f>
        <v>4299.15863617387</v>
      </c>
      <c r="K65" s="21" t="n">
        <f aca="false">J65+K73</f>
        <v>4315.78990969009</v>
      </c>
      <c r="L65" s="21" t="n">
        <f aca="false">K65+L73</f>
        <v>4332.33517041442</v>
      </c>
    </row>
    <row r="66" customFormat="false" ht="14.25" hidden="false" customHeight="true" outlineLevel="0" collapsed="false">
      <c r="A66" s="38" t="s">
        <v>129</v>
      </c>
      <c r="C66" s="39" t="n">
        <f aca="false">C64-C65</f>
        <v>290.26</v>
      </c>
      <c r="D66" s="39" t="n">
        <f aca="false">D64-D65</f>
        <v>298.5</v>
      </c>
      <c r="E66" s="39" t="n">
        <f aca="false">E64-E65</f>
        <v>518.5</v>
      </c>
      <c r="F66" s="39" t="n">
        <f aca="false">F64-F65</f>
        <v>543.65</v>
      </c>
      <c r="G66" s="39" t="n">
        <f aca="false">G64-G65</f>
        <v>580.46</v>
      </c>
      <c r="H66" s="39" t="n">
        <f aca="false">H64-H65</f>
        <v>582.920360060751</v>
      </c>
      <c r="I66" s="39" t="n">
        <f aca="false">I64-I65</f>
        <v>588.555203299344</v>
      </c>
      <c r="J66" s="39" t="n">
        <f aca="false">J64-J65</f>
        <v>593.502151034314</v>
      </c>
      <c r="K66" s="39" t="n">
        <f aca="false">K64-K65</f>
        <v>598.010317335942</v>
      </c>
      <c r="L66" s="39" t="n">
        <f aca="false">L64-L65</f>
        <v>603.085712182695</v>
      </c>
    </row>
    <row r="67" customFormat="false" ht="14.25" hidden="false" customHeight="true" outlineLevel="0" collapsed="false">
      <c r="A67" s="13" t="s">
        <v>130</v>
      </c>
      <c r="C67" s="44" t="n">
        <v>493.05</v>
      </c>
      <c r="D67" s="44" t="n">
        <v>531.6</v>
      </c>
      <c r="E67" s="44" t="n">
        <v>615.2</v>
      </c>
      <c r="F67" s="44" t="n">
        <v>657.38</v>
      </c>
      <c r="G67" s="44" t="n">
        <v>657.38</v>
      </c>
      <c r="H67" s="21" t="n">
        <f aca="false">G67+H87</f>
        <v>744.324</v>
      </c>
      <c r="I67" s="21" t="n">
        <f aca="false">H67+I87</f>
        <v>842.187327538348</v>
      </c>
      <c r="J67" s="21" t="n">
        <f aca="false">I67+J87</f>
        <v>942.432290384694</v>
      </c>
      <c r="K67" s="21" t="n">
        <f aca="false">J67+K87</f>
        <v>1060.89079759544</v>
      </c>
      <c r="L67" s="21" t="n">
        <f aca="false">K67+L87</f>
        <v>1194.03207600084</v>
      </c>
    </row>
    <row r="68" customFormat="false" ht="14.25" hidden="false" customHeight="true" outlineLevel="0" collapsed="false">
      <c r="A68" s="13" t="s">
        <v>131</v>
      </c>
      <c r="C68" s="44" t="n">
        <v>88.3</v>
      </c>
      <c r="D68" s="44" t="n">
        <v>118.01</v>
      </c>
      <c r="E68" s="44" t="n">
        <v>139.23</v>
      </c>
      <c r="F68" s="44" t="n">
        <v>173.99</v>
      </c>
      <c r="G68" s="44" t="n">
        <v>173.99</v>
      </c>
      <c r="H68" s="21" t="n">
        <f aca="false">G68+H75</f>
        <v>249.269482721806</v>
      </c>
      <c r="I68" s="21" t="n">
        <f aca="false">H68+I75</f>
        <v>326.380992603611</v>
      </c>
      <c r="J68" s="21" t="n">
        <f aca="false">I68+J75</f>
        <v>417.502921227262</v>
      </c>
      <c r="K68" s="21" t="n">
        <f aca="false">J68+K75</f>
        <v>519.919289231414</v>
      </c>
      <c r="L68" s="21" t="n">
        <f aca="false">K68+L75</f>
        <v>633.257177564921</v>
      </c>
    </row>
    <row r="69" customFormat="false" ht="14.25" hidden="false" customHeight="true" outlineLevel="0" collapsed="false">
      <c r="A69" s="38" t="s">
        <v>132</v>
      </c>
      <c r="C69" s="39" t="n">
        <f aca="false">C67-C68</f>
        <v>404.75</v>
      </c>
      <c r="D69" s="39" t="n">
        <f aca="false">D67-D68</f>
        <v>413.59</v>
      </c>
      <c r="E69" s="39" t="n">
        <f aca="false">E67-E68</f>
        <v>475.97</v>
      </c>
      <c r="F69" s="39" t="n">
        <f aca="false">F67-F68</f>
        <v>483.39</v>
      </c>
      <c r="G69" s="39" t="n">
        <f aca="false">G67-G68</f>
        <v>483.39</v>
      </c>
      <c r="H69" s="39" t="n">
        <f aca="false">H67-H68</f>
        <v>495.054517278194</v>
      </c>
      <c r="I69" s="39" t="n">
        <f aca="false">I67-I68</f>
        <v>515.806334934737</v>
      </c>
      <c r="J69" s="39" t="n">
        <f aca="false">J67-J68</f>
        <v>524.929369157433</v>
      </c>
      <c r="K69" s="39" t="n">
        <f aca="false">K67-K68</f>
        <v>540.971508364027</v>
      </c>
      <c r="L69" s="39" t="n">
        <f aca="false">L67-L68</f>
        <v>560.774898435916</v>
      </c>
    </row>
    <row r="71" customFormat="false" ht="14.25" hidden="false" customHeight="true" outlineLevel="0" collapsed="false">
      <c r="A71" s="13" t="s">
        <v>133</v>
      </c>
      <c r="C71" s="44" t="n">
        <v>598.37</v>
      </c>
      <c r="D71" s="44" t="n">
        <v>612.14</v>
      </c>
      <c r="E71" s="44" t="n">
        <v>641.52</v>
      </c>
      <c r="F71" s="44" t="n">
        <v>689.27</v>
      </c>
      <c r="G71" s="44" t="n">
        <v>742.83</v>
      </c>
      <c r="H71" s="21" t="n">
        <f aca="false">H72*AVERAGE(G61:H61)</f>
        <v>767.485859380826</v>
      </c>
      <c r="I71" s="21" t="n">
        <f aca="false">I72*AVERAGE(H61:I61)</f>
        <v>838.558808842334</v>
      </c>
      <c r="J71" s="21" t="n">
        <f aca="false">J72*AVERAGE(I61:J61)</f>
        <v>907.652909572982</v>
      </c>
      <c r="K71" s="21" t="n">
        <f aca="false">K72*AVERAGE(J61:K61)</f>
        <v>974.715627787606</v>
      </c>
      <c r="L71" s="21" t="n">
        <f aca="false">L72*AVERAGE(K61:L61)</f>
        <v>1055.36276953442</v>
      </c>
      <c r="M71" s="1" t="s">
        <v>134</v>
      </c>
    </row>
    <row r="72" customFormat="false" ht="14.25" hidden="false" customHeight="true" outlineLevel="0" collapsed="false">
      <c r="A72" s="13" t="s">
        <v>135</v>
      </c>
      <c r="C72" s="21" t="n">
        <f aca="false">C71/C61</f>
        <v>0.0614561861361286</v>
      </c>
      <c r="D72" s="21" t="n">
        <f aca="false">D71/AVERAGE(C61:D61)</f>
        <v>0.0607547849578958</v>
      </c>
      <c r="E72" s="21" t="n">
        <f aca="false">E71/AVERAGE(D61:E61)</f>
        <v>0.0609004344538569</v>
      </c>
      <c r="F72" s="21" t="n">
        <f aca="false">F71/AVERAGE(E61:F61)</f>
        <v>0.0631556185337235</v>
      </c>
      <c r="G72" s="21" t="n">
        <f aca="false">G71/AVERAGE(F61:G61)</f>
        <v>0.0649511727331509</v>
      </c>
      <c r="H72" s="21" t="n">
        <f aca="false">AVERAGE(E72:G72)</f>
        <v>0.0630024085735771</v>
      </c>
      <c r="I72" s="21" t="n">
        <f aca="false">AVERAGE(F72:H72)</f>
        <v>0.0637030666134838</v>
      </c>
      <c r="J72" s="21" t="n">
        <f aca="false">AVERAGE(G72:I72)</f>
        <v>0.0638855493067373</v>
      </c>
      <c r="K72" s="21" t="n">
        <f aca="false">AVERAGE(H72:J72)</f>
        <v>0.0635303414979327</v>
      </c>
      <c r="L72" s="21" t="n">
        <f aca="false">AVERAGE(I72:K72)</f>
        <v>0.0637063191393846</v>
      </c>
    </row>
    <row r="73" customFormat="false" ht="14.25" hidden="false" customHeight="true" outlineLevel="0" collapsed="false">
      <c r="A73" s="13" t="s">
        <v>136</v>
      </c>
      <c r="C73" s="44" t="n">
        <v>18.44</v>
      </c>
      <c r="D73" s="44" t="n">
        <v>17.92</v>
      </c>
      <c r="E73" s="44" t="n">
        <v>16.73</v>
      </c>
      <c r="F73" s="44" t="n">
        <v>15.61</v>
      </c>
      <c r="G73" s="44" t="n">
        <v>14.88</v>
      </c>
      <c r="H73" s="21" t="n">
        <f aca="false">H74*AVERAGE(G64:H64)</f>
        <v>16.8836399392492</v>
      </c>
      <c r="I73" s="21" t="n">
        <f aca="false">I74*AVERAGE(H64:I64)</f>
        <v>16.3138886824311</v>
      </c>
      <c r="J73" s="21" t="n">
        <f aca="false">J74*AVERAGE(I64:J64)</f>
        <v>16.2611075521896</v>
      </c>
      <c r="K73" s="21" t="n">
        <f aca="false">K74*AVERAGE(J64:K64)</f>
        <v>16.6312735162186</v>
      </c>
      <c r="L73" s="21" t="n">
        <f aca="false">L74*AVERAGE(K64:L64)</f>
        <v>16.5452607243312</v>
      </c>
      <c r="M73" s="1" t="s">
        <v>137</v>
      </c>
    </row>
    <row r="74" customFormat="false" ht="14.25" hidden="false" customHeight="true" outlineLevel="0" collapsed="false">
      <c r="A74" s="13" t="s">
        <v>138</v>
      </c>
      <c r="C74" s="44" t="n">
        <f aca="false">C73/C64</f>
        <v>0.00450316247039</v>
      </c>
      <c r="D74" s="44" t="n">
        <f aca="false">D73/AVERAGE(C64:D64)</f>
        <v>0.004349298153854</v>
      </c>
      <c r="E74" s="44" t="n">
        <f aca="false">E73/AVERAGE(D64:E64)</f>
        <v>0.00388459524630493</v>
      </c>
      <c r="F74" s="44" t="n">
        <f aca="false">F73/AVERAGE(E64:F64)</f>
        <v>0.00343337633301771</v>
      </c>
      <c r="G74" s="44" t="n">
        <f aca="false">G73/AVERAGE(F64:G64)</f>
        <v>0.00314745776156104</v>
      </c>
      <c r="H74" s="21" t="n">
        <f aca="false">AVERAGE(E74:G74)</f>
        <v>0.00348847644696123</v>
      </c>
      <c r="I74" s="21" t="n">
        <f aca="false">AVERAGE(F74:H74)</f>
        <v>0.00335643684717999</v>
      </c>
      <c r="J74" s="21" t="n">
        <f aca="false">AVERAGE(G74:I74)</f>
        <v>0.00333079035190075</v>
      </c>
      <c r="K74" s="21" t="n">
        <f aca="false">AVERAGE(H74:J74)</f>
        <v>0.00339190121534732</v>
      </c>
      <c r="L74" s="21" t="n">
        <f aca="false">AVERAGE(I74:K74)</f>
        <v>0.00335970947147602</v>
      </c>
    </row>
    <row r="75" customFormat="false" ht="14.25" hidden="false" customHeight="true" outlineLevel="0" collapsed="false">
      <c r="A75" s="13" t="s">
        <v>139</v>
      </c>
      <c r="C75" s="44" t="n">
        <v>98.31</v>
      </c>
      <c r="D75" s="44" t="n">
        <v>85.06</v>
      </c>
      <c r="E75" s="44" t="n">
        <v>79.14</v>
      </c>
      <c r="F75" s="44" t="n">
        <v>52.48</v>
      </c>
      <c r="G75" s="44" t="n">
        <v>66.88</v>
      </c>
      <c r="H75" s="21" t="n">
        <f aca="false">H76*AVERAGE(G67:H67)</f>
        <v>75.2794827218059</v>
      </c>
      <c r="I75" s="21" t="n">
        <f aca="false">I76*AVERAGE(H67:I67)</f>
        <v>77.1115098818049</v>
      </c>
      <c r="J75" s="21" t="n">
        <f aca="false">J76*AVERAGE(I67:J67)</f>
        <v>91.1219286236508</v>
      </c>
      <c r="K75" s="21" t="n">
        <f aca="false">K76*AVERAGE(J67:K67)</f>
        <v>102.416368004152</v>
      </c>
      <c r="L75" s="21" t="n">
        <f aca="false">L76*AVERAGE(K67:L67)</f>
        <v>113.337888333508</v>
      </c>
    </row>
    <row r="76" customFormat="false" ht="14.25" hidden="false" customHeight="true" outlineLevel="0" collapsed="false">
      <c r="A76" s="13" t="s">
        <v>140</v>
      </c>
      <c r="C76" s="44" t="n">
        <f aca="false">C75/C67</f>
        <v>0.199391542439915</v>
      </c>
      <c r="D76" s="44" t="n">
        <f aca="false">D75/AVERAGE(C67:D67)</f>
        <v>0.166027423998438</v>
      </c>
      <c r="E76" s="44" t="n">
        <f aca="false">E75/AVERAGE(D67:E67)</f>
        <v>0.138018835019184</v>
      </c>
      <c r="F76" s="44" t="n">
        <f aca="false">F75/AVERAGE(E67:F67)</f>
        <v>0.0824781153247733</v>
      </c>
      <c r="G76" s="44" t="n">
        <f aca="false">G75/AVERAGE(F67:G67)</f>
        <v>0.101737199184642</v>
      </c>
      <c r="H76" s="21" t="n">
        <f aca="false">AVERAGE(E76:G76)</f>
        <v>0.1074113831762</v>
      </c>
      <c r="I76" s="21" t="n">
        <f aca="false">AVERAGE(F76:H76)</f>
        <v>0.0972088992285384</v>
      </c>
      <c r="J76" s="21" t="n">
        <f aca="false">AVERAGE(G76:I76)</f>
        <v>0.102119160529793</v>
      </c>
      <c r="K76" s="21" t="n">
        <f aca="false">AVERAGE(H76:J76)</f>
        <v>0.102246480978177</v>
      </c>
      <c r="L76" s="21" t="n">
        <f aca="false">AVERAGE(I76:K76)</f>
        <v>0.10052484691217</v>
      </c>
    </row>
    <row r="77" customFormat="false" ht="14.25" hidden="false" customHeight="true" outlineLevel="0" collapsed="false">
      <c r="A77" s="38" t="s">
        <v>141</v>
      </c>
      <c r="C77" s="48" t="n">
        <f aca="false">C71+C73+C75</f>
        <v>715.12</v>
      </c>
      <c r="D77" s="48" t="n">
        <f aca="false">D71+D73+D75</f>
        <v>715.12</v>
      </c>
      <c r="E77" s="48" t="n">
        <f aca="false">E71+E73+E75</f>
        <v>737.39</v>
      </c>
      <c r="F77" s="48" t="n">
        <f aca="false">F71+F73+F75</f>
        <v>757.36</v>
      </c>
      <c r="G77" s="48" t="n">
        <f aca="false">G71+G73+G75</f>
        <v>824.59</v>
      </c>
      <c r="H77" s="39" t="n">
        <f aca="false">H71+H73+H75</f>
        <v>859.648982041881</v>
      </c>
      <c r="I77" s="39" t="n">
        <f aca="false">I71+I73+I75</f>
        <v>931.98420740657</v>
      </c>
      <c r="J77" s="39" t="n">
        <f aca="false">J71+J73+J75</f>
        <v>1015.03594574882</v>
      </c>
      <c r="K77" s="39" t="n">
        <f aca="false">K71+K73+K75</f>
        <v>1093.76326930798</v>
      </c>
      <c r="L77" s="39" t="n">
        <f aca="false">L71+L73+L75</f>
        <v>1185.24591859225</v>
      </c>
    </row>
    <row r="79" customFormat="false" ht="14.25" hidden="false" customHeight="true" outlineLevel="0" collapsed="false">
      <c r="A79" s="13" t="s">
        <v>142</v>
      </c>
      <c r="H79" s="21" t="n">
        <f aca="false">G71</f>
        <v>742.83</v>
      </c>
      <c r="I79" s="21" t="n">
        <f aca="false">H71</f>
        <v>767.485859380826</v>
      </c>
      <c r="J79" s="21" t="n">
        <f aca="false">I71</f>
        <v>838.558808842334</v>
      </c>
      <c r="K79" s="21" t="n">
        <f aca="false">J71</f>
        <v>907.652909572982</v>
      </c>
      <c r="L79" s="21" t="n">
        <f aca="false">K71</f>
        <v>974.715627787606</v>
      </c>
      <c r="M79" s="1" t="s">
        <v>143</v>
      </c>
    </row>
    <row r="80" customFormat="false" ht="14.25" hidden="false" customHeight="true" outlineLevel="0" collapsed="false">
      <c r="A80" s="13" t="s">
        <v>144</v>
      </c>
      <c r="H80" s="21" t="n">
        <f aca="false">H79*H89</f>
        <v>222.849</v>
      </c>
      <c r="I80" s="21" t="n">
        <f aca="false">I79*I89</f>
        <v>230.245757814248</v>
      </c>
      <c r="J80" s="21" t="n">
        <f aca="false">J79*J89</f>
        <v>251.5676426527</v>
      </c>
      <c r="K80" s="21" t="n">
        <f aca="false">K79*K89</f>
        <v>272.295872871895</v>
      </c>
      <c r="L80" s="21" t="n">
        <f aca="false">L79*L89</f>
        <v>292.414688336282</v>
      </c>
    </row>
    <row r="81" customFormat="false" ht="14.25" hidden="false" customHeight="true" outlineLevel="0" collapsed="false">
      <c r="A81" s="24" t="s">
        <v>145</v>
      </c>
      <c r="H81" s="49" t="n">
        <f aca="false">H79+H80</f>
        <v>965.679</v>
      </c>
      <c r="I81" s="49" t="n">
        <f aca="false">I79+I80</f>
        <v>997.731617195074</v>
      </c>
      <c r="J81" s="49" t="n">
        <f aca="false">J79+J80</f>
        <v>1090.12645149503</v>
      </c>
      <c r="K81" s="49" t="n">
        <f aca="false">K79+K80</f>
        <v>1179.94878244488</v>
      </c>
      <c r="L81" s="49" t="n">
        <f aca="false">L79+L80</f>
        <v>1267.13031612389</v>
      </c>
    </row>
    <row r="82" customFormat="false" ht="14.25" hidden="false" customHeight="true" outlineLevel="0" collapsed="false">
      <c r="A82" s="13" t="s">
        <v>146</v>
      </c>
      <c r="H82" s="21" t="n">
        <f aca="false">G73</f>
        <v>14.88</v>
      </c>
      <c r="I82" s="21" t="n">
        <f aca="false">H73</f>
        <v>16.8836399392492</v>
      </c>
      <c r="J82" s="21" t="n">
        <f aca="false">I73</f>
        <v>16.3138886824311</v>
      </c>
      <c r="K82" s="21" t="n">
        <f aca="false">J73</f>
        <v>16.2611075521896</v>
      </c>
      <c r="L82" s="21" t="n">
        <f aca="false">K73</f>
        <v>16.6312735162186</v>
      </c>
    </row>
    <row r="83" customFormat="false" ht="14.25" hidden="false" customHeight="true" outlineLevel="0" collapsed="false">
      <c r="A83" s="13" t="s">
        <v>147</v>
      </c>
      <c r="H83" s="21" t="n">
        <f aca="false">H82*H89</f>
        <v>4.464</v>
      </c>
      <c r="I83" s="21" t="n">
        <f aca="false">I82*I89</f>
        <v>5.06509198177477</v>
      </c>
      <c r="J83" s="21" t="n">
        <f aca="false">J82*J89</f>
        <v>4.89416660472932</v>
      </c>
      <c r="K83" s="21" t="n">
        <f aca="false">K82*K89</f>
        <v>4.87833226565689</v>
      </c>
      <c r="L83" s="21" t="n">
        <f aca="false">L82*L89</f>
        <v>4.98938205486558</v>
      </c>
    </row>
    <row r="84" customFormat="false" ht="14.25" hidden="false" customHeight="true" outlineLevel="0" collapsed="false">
      <c r="A84" s="24" t="s">
        <v>148</v>
      </c>
      <c r="H84" s="49" t="n">
        <f aca="false">H82+H83</f>
        <v>19.344</v>
      </c>
      <c r="I84" s="49" t="n">
        <f aca="false">I82+I83</f>
        <v>21.948731921024</v>
      </c>
      <c r="J84" s="49" t="n">
        <f aca="false">J82+J83</f>
        <v>21.2080552871604</v>
      </c>
      <c r="K84" s="49" t="n">
        <f aca="false">K82+K83</f>
        <v>21.1394398178465</v>
      </c>
      <c r="L84" s="49" t="n">
        <f aca="false">L82+L83</f>
        <v>21.6206555710842</v>
      </c>
    </row>
    <row r="85" customFormat="false" ht="14.25" hidden="false" customHeight="true" outlineLevel="0" collapsed="false">
      <c r="A85" s="13" t="s">
        <v>149</v>
      </c>
      <c r="H85" s="21" t="n">
        <f aca="false">G75</f>
        <v>66.88</v>
      </c>
      <c r="I85" s="21" t="n">
        <f aca="false">H75</f>
        <v>75.2794827218059</v>
      </c>
      <c r="J85" s="21" t="n">
        <f aca="false">I75</f>
        <v>77.1115098818049</v>
      </c>
      <c r="K85" s="21" t="n">
        <f aca="false">J75</f>
        <v>91.1219286236508</v>
      </c>
      <c r="L85" s="21" t="n">
        <f aca="false">K75</f>
        <v>102.416368004152</v>
      </c>
    </row>
    <row r="86" customFormat="false" ht="14.25" hidden="false" customHeight="true" outlineLevel="0" collapsed="false">
      <c r="A86" s="13" t="s">
        <v>150</v>
      </c>
      <c r="H86" s="21" t="n">
        <f aca="false">H85*H89</f>
        <v>20.064</v>
      </c>
      <c r="I86" s="21" t="n">
        <f aca="false">I85*I89</f>
        <v>22.5838448165418</v>
      </c>
      <c r="J86" s="21" t="n">
        <f aca="false">J85*J89</f>
        <v>23.1334529645415</v>
      </c>
      <c r="K86" s="21" t="n">
        <f aca="false">K85*K89</f>
        <v>27.3365785870952</v>
      </c>
      <c r="L86" s="21" t="n">
        <f aca="false">L85*L89</f>
        <v>30.7249104012456</v>
      </c>
    </row>
    <row r="87" customFormat="false" ht="14.25" hidden="false" customHeight="true" outlineLevel="0" collapsed="false">
      <c r="A87" s="24" t="s">
        <v>151</v>
      </c>
      <c r="H87" s="49" t="n">
        <f aca="false">H85+H86</f>
        <v>86.944</v>
      </c>
      <c r="I87" s="49" t="n">
        <f aca="false">I85+I86</f>
        <v>97.8633275383477</v>
      </c>
      <c r="J87" s="49" t="n">
        <f aca="false">J85+J86</f>
        <v>100.244962846346</v>
      </c>
      <c r="K87" s="49" t="n">
        <f aca="false">K85+K86</f>
        <v>118.458507210746</v>
      </c>
      <c r="L87" s="49" t="n">
        <f aca="false">L85+L86</f>
        <v>133.141278405398</v>
      </c>
    </row>
    <row r="88" s="46" customFormat="true" ht="14.25" hidden="false" customHeight="true" outlineLevel="0" collapsed="false">
      <c r="A88" s="50" t="s">
        <v>152</v>
      </c>
      <c r="H88" s="51" t="n">
        <f aca="false">H81+H84+H87</f>
        <v>1071.967</v>
      </c>
      <c r="I88" s="51" t="n">
        <f aca="false">I81+I84+I87</f>
        <v>1117.54367665445</v>
      </c>
      <c r="J88" s="51" t="n">
        <f aca="false">J81+J84+J87</f>
        <v>1211.57946962854</v>
      </c>
      <c r="K88" s="51" t="n">
        <f aca="false">K81+K84+K87</f>
        <v>1319.54672947347</v>
      </c>
      <c r="L88" s="51" t="n">
        <f aca="false">L81+L84+L87</f>
        <v>1421.89225010037</v>
      </c>
    </row>
    <row r="89" customFormat="false" ht="14.25" hidden="false" customHeight="true" outlineLevel="0" collapsed="false">
      <c r="A89" s="13" t="s">
        <v>153</v>
      </c>
      <c r="H89" s="52" t="n">
        <v>0.3</v>
      </c>
      <c r="I89" s="52" t="n">
        <v>0.3</v>
      </c>
      <c r="J89" s="52" t="n">
        <v>0.3</v>
      </c>
      <c r="K89" s="52" t="n">
        <v>0.3</v>
      </c>
      <c r="L89" s="52" t="n">
        <v>0.3</v>
      </c>
    </row>
    <row r="94" customFormat="false" ht="14.25" hidden="false" customHeight="true" outlineLevel="0" collapsed="false">
      <c r="H94" s="1" t="s">
        <v>154</v>
      </c>
    </row>
    <row r="95" customFormat="false" ht="14.25" hidden="false" customHeight="true" outlineLevel="0" collapsed="false">
      <c r="I95" s="53" t="s">
        <v>155</v>
      </c>
    </row>
    <row r="96" customFormat="false" ht="14.25" hidden="false" customHeight="true" outlineLevel="0" collapsed="false">
      <c r="H96" s="53" t="s">
        <v>156</v>
      </c>
      <c r="I96" s="53" t="s">
        <v>157</v>
      </c>
    </row>
    <row r="97" customFormat="false" ht="14.25" hidden="false" customHeight="true" outlineLevel="0" collapsed="false">
      <c r="H97" s="53" t="s">
        <v>158</v>
      </c>
      <c r="I97" s="53" t="s">
        <v>159</v>
      </c>
    </row>
    <row r="98" customFormat="false" ht="14.25" hidden="false" customHeight="true" outlineLevel="0" collapsed="false">
      <c r="H98" s="53" t="s">
        <v>160</v>
      </c>
      <c r="I98" s="53" t="s">
        <v>161</v>
      </c>
    </row>
    <row r="99" customFormat="false" ht="14.25" hidden="false" customHeight="true" outlineLevel="0" collapsed="false">
      <c r="H99" s="53" t="s">
        <v>162</v>
      </c>
      <c r="I99" s="53" t="s">
        <v>163</v>
      </c>
    </row>
    <row r="100" customFormat="false" ht="14.25" hidden="false" customHeight="true" outlineLevel="0" collapsed="false">
      <c r="H100" s="53" t="s">
        <v>164</v>
      </c>
      <c r="I100" s="53" t="s">
        <v>165</v>
      </c>
    </row>
    <row r="101" customFormat="false" ht="14.25" hidden="false" customHeight="true" outlineLevel="0" collapsed="false">
      <c r="H101" s="53" t="s">
        <v>166</v>
      </c>
      <c r="I101" s="53" t="s">
        <v>167</v>
      </c>
    </row>
    <row r="103" customFormat="false" ht="135.75" hidden="false" customHeight="true" outlineLevel="0" collapsed="false">
      <c r="A103" s="1" t="s">
        <v>54</v>
      </c>
      <c r="B103" s="3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2" activeCellId="0" sqref="A2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12" min="3" style="1" width="11"/>
    <col collapsed="false" customWidth="true" hidden="false" outlineLevel="0" max="13" min="13" style="1" width="25.67"/>
  </cols>
  <sheetData>
    <row r="1" customFormat="false" ht="15.75" hidden="false" customHeight="true" outlineLevel="0" collapsed="false">
      <c r="A1" s="2" t="s">
        <v>169</v>
      </c>
    </row>
    <row r="2" customFormat="false" ht="14.25" hidden="false" customHeight="true" outlineLevel="0" collapsed="false">
      <c r="A2" s="54" t="s">
        <v>170</v>
      </c>
    </row>
    <row r="3" s="55" customFormat="true" ht="24.75" hidden="false" customHeight="true" outlineLevel="0" collapsed="false">
      <c r="A3" s="12" t="s">
        <v>171</v>
      </c>
      <c r="C3" s="12" t="s">
        <v>26</v>
      </c>
      <c r="D3" s="12" t="s">
        <v>27</v>
      </c>
      <c r="E3" s="12" t="s">
        <v>28</v>
      </c>
      <c r="F3" s="12" t="s">
        <v>29</v>
      </c>
      <c r="G3" s="12" t="s">
        <v>30</v>
      </c>
      <c r="H3" s="12" t="s">
        <v>31</v>
      </c>
      <c r="I3" s="12" t="s">
        <v>32</v>
      </c>
      <c r="J3" s="12" t="s">
        <v>33</v>
      </c>
      <c r="K3" s="12" t="s">
        <v>34</v>
      </c>
      <c r="L3" s="12" t="s">
        <v>35</v>
      </c>
    </row>
    <row r="4" customFormat="false" ht="14.25" hidden="false" customHeight="true" outlineLevel="0" collapsed="false">
      <c r="A4" s="24" t="s">
        <v>172</v>
      </c>
      <c r="C4" s="56"/>
      <c r="D4" s="56"/>
      <c r="E4" s="56"/>
      <c r="F4" s="56"/>
      <c r="G4" s="56"/>
      <c r="H4" s="56"/>
      <c r="I4" s="56"/>
      <c r="J4" s="56"/>
      <c r="K4" s="56"/>
      <c r="L4" s="56"/>
    </row>
    <row r="5" customFormat="false" ht="14.25" hidden="false" customHeight="true" outlineLevel="0" collapsed="false">
      <c r="A5" s="13" t="s">
        <v>41</v>
      </c>
      <c r="C5" s="44" t="n">
        <v>30959.19</v>
      </c>
      <c r="D5" s="44" t="n">
        <v>29551.28</v>
      </c>
      <c r="E5" s="44" t="n">
        <v>34158.38</v>
      </c>
      <c r="F5" s="44" t="n">
        <v>37788.62</v>
      </c>
      <c r="G5" s="44" t="n">
        <v>40923.42</v>
      </c>
      <c r="H5" s="44" t="n">
        <f aca="false">'Revenue Model'!H7</f>
        <v>50467.5938847458</v>
      </c>
      <c r="I5" s="44" t="n">
        <f aca="false">'Revenue Model'!I7</f>
        <v>61362.6567998644</v>
      </c>
      <c r="J5" s="44" t="n">
        <f aca="false">'Revenue Model'!J7</f>
        <v>74217.3466987078</v>
      </c>
      <c r="K5" s="44" t="n">
        <f aca="false">'Revenue Model'!K7</f>
        <v>91045.5046355609</v>
      </c>
      <c r="L5" s="44" t="n">
        <f aca="false">'Revenue Model'!L7</f>
        <v>111499.805385725</v>
      </c>
      <c r="M5" s="1" t="s">
        <v>173</v>
      </c>
    </row>
    <row r="6" customFormat="false" ht="14.25" hidden="false" customHeight="true" outlineLevel="0" collapsed="false">
      <c r="A6" s="13" t="s">
        <v>43</v>
      </c>
      <c r="C6" s="44" t="n">
        <v>557.9</v>
      </c>
      <c r="D6" s="44" t="n">
        <v>555.01</v>
      </c>
      <c r="E6" s="44" t="n">
        <v>569.01</v>
      </c>
      <c r="F6" s="44" t="n">
        <v>854.54</v>
      </c>
      <c r="G6" s="44" t="n">
        <v>1044.08</v>
      </c>
      <c r="H6" s="44" t="n">
        <f aca="false">'Revenue Model'!H8</f>
        <v>1089.84259153378</v>
      </c>
      <c r="I6" s="44" t="n">
        <f aca="false">'Revenue Model'!I8</f>
        <v>1325.1203745296</v>
      </c>
      <c r="J6" s="44" t="n">
        <f aca="false">'Revenue Model'!J8</f>
        <v>1602.7161042708</v>
      </c>
      <c r="K6" s="44" t="n">
        <f aca="false">'Revenue Model'!K8</f>
        <v>1966.11847487962</v>
      </c>
      <c r="L6" s="44" t="n">
        <f aca="false">'Revenue Model'!L8</f>
        <v>2407.82703321665</v>
      </c>
      <c r="M6" s="1" t="s">
        <v>174</v>
      </c>
    </row>
    <row r="7" customFormat="false" ht="14.25" hidden="false" customHeight="true" outlineLevel="0" collapsed="false">
      <c r="A7" s="38" t="s">
        <v>45</v>
      </c>
      <c r="C7" s="48" t="n">
        <f aca="false">C5+C6</f>
        <v>31517.09</v>
      </c>
      <c r="D7" s="48" t="n">
        <f aca="false">D5+D6</f>
        <v>30106.29</v>
      </c>
      <c r="E7" s="48" t="n">
        <f aca="false">E5+E6</f>
        <v>34727.39</v>
      </c>
      <c r="F7" s="48" t="n">
        <f aca="false">F5+F6</f>
        <v>38643.16</v>
      </c>
      <c r="G7" s="48" t="n">
        <f aca="false">G5+G6</f>
        <v>41967.5</v>
      </c>
      <c r="H7" s="48" t="n">
        <f aca="false">H5+H6</f>
        <v>51557.4364762795</v>
      </c>
      <c r="I7" s="48" t="n">
        <f aca="false">I5+I6</f>
        <v>62687.777174394</v>
      </c>
      <c r="J7" s="48" t="n">
        <f aca="false">J5+J6</f>
        <v>75820.0628029786</v>
      </c>
      <c r="K7" s="48" t="n">
        <f aca="false">K5+K6</f>
        <v>93011.6231104405</v>
      </c>
      <c r="L7" s="48" t="n">
        <f aca="false">L5+L6</f>
        <v>113907.632418941</v>
      </c>
    </row>
    <row r="8" customFormat="false" ht="14.25" hidden="false" customHeight="true" outlineLevel="0" collapsed="false">
      <c r="C8" s="56"/>
      <c r="D8" s="56"/>
      <c r="E8" s="56"/>
      <c r="F8" s="56"/>
      <c r="G8" s="56"/>
      <c r="H8" s="56"/>
      <c r="I8" s="56"/>
      <c r="J8" s="56"/>
      <c r="K8" s="56"/>
      <c r="L8" s="56"/>
    </row>
    <row r="9" customFormat="false" ht="14.25" hidden="false" customHeight="true" outlineLevel="0" collapsed="false">
      <c r="A9" s="24" t="s">
        <v>175</v>
      </c>
      <c r="C9" s="56"/>
      <c r="D9" s="56"/>
      <c r="E9" s="56"/>
      <c r="F9" s="56"/>
      <c r="G9" s="56"/>
      <c r="H9" s="56"/>
      <c r="I9" s="56"/>
      <c r="J9" s="56"/>
      <c r="K9" s="56"/>
      <c r="L9" s="56"/>
    </row>
    <row r="10" customFormat="false" ht="14.25" hidden="false" customHeight="true" outlineLevel="0" collapsed="false">
      <c r="A10" s="13" t="s">
        <v>176</v>
      </c>
      <c r="C10" s="44" t="n">
        <v>21968.04</v>
      </c>
      <c r="D10" s="44" t="n">
        <v>20845.74</v>
      </c>
      <c r="E10" s="44" t="n">
        <v>24060.29</v>
      </c>
      <c r="F10" s="44" t="n">
        <v>24836.89</v>
      </c>
      <c r="G10" s="44" t="n">
        <v>26607.07</v>
      </c>
      <c r="H10" s="44" t="n">
        <f aca="false">Assumptions!H4*'Revenue Model'!H7</f>
        <v>33843.5720573648</v>
      </c>
      <c r="I10" s="44" t="n">
        <f aca="false">Assumptions!I4*'Revenue Model'!I7</f>
        <v>41149.802025043</v>
      </c>
      <c r="J10" s="44" t="n">
        <f aca="false">Assumptions!J4*'Revenue Model'!J7</f>
        <v>49770.157987725</v>
      </c>
      <c r="K10" s="44" t="n">
        <f aca="false">Assumptions!K4*'Revenue Model'!K7</f>
        <v>61055.121899998</v>
      </c>
      <c r="L10" s="44" t="n">
        <f aca="false">Assumptions!L4*'Revenue Model'!L7</f>
        <v>74771.777441415</v>
      </c>
    </row>
    <row r="11" customFormat="false" ht="14.25" hidden="false" customHeight="true" outlineLevel="0" collapsed="false">
      <c r="A11" s="13" t="s">
        <v>177</v>
      </c>
      <c r="C11" s="44" t="n">
        <v>31.14</v>
      </c>
      <c r="D11" s="44" t="n">
        <v>45.95</v>
      </c>
      <c r="E11" s="44" t="n">
        <v>47.43</v>
      </c>
      <c r="F11" s="44" t="n">
        <v>484.2</v>
      </c>
      <c r="G11" s="44" t="n">
        <v>547.91</v>
      </c>
      <c r="H11" s="44" t="n">
        <f aca="false">Assumptions!H5*'Revenue Model'!H7</f>
        <v>464.143382490521</v>
      </c>
      <c r="I11" s="44" t="n">
        <f aca="false">Assumptions!I5*'Revenue Model'!I7</f>
        <v>564.343748004651</v>
      </c>
      <c r="J11" s="44" t="n">
        <f aca="false">Assumptions!J5*'Revenue Model'!J7</f>
        <v>682.566528035369</v>
      </c>
      <c r="K11" s="44" t="n">
        <f aca="false">Assumptions!K5*'Revenue Model'!K7</f>
        <v>837.332736302265</v>
      </c>
      <c r="L11" s="44" t="n">
        <f aca="false">Assumptions!L5*'Revenue Model'!L7</f>
        <v>1025.44807142881</v>
      </c>
    </row>
    <row r="12" customFormat="false" ht="14.25" hidden="false" customHeight="true" outlineLevel="0" collapsed="false">
      <c r="A12" s="13" t="s">
        <v>178</v>
      </c>
      <c r="C12" s="44" t="n">
        <v>-255.57</v>
      </c>
      <c r="D12" s="44" t="n">
        <v>28.67</v>
      </c>
      <c r="E12" s="44" t="n">
        <v>-163.69</v>
      </c>
      <c r="F12" s="44" t="n">
        <v>188.35</v>
      </c>
      <c r="G12" s="44" t="n">
        <v>-244.34</v>
      </c>
      <c r="H12" s="44" t="n">
        <f aca="false">Assumptions!H6*'Revenue Model'!H7</f>
        <v>-97.2081310376684</v>
      </c>
      <c r="I12" s="44" t="n">
        <f aca="false">Assumptions!I6*'Revenue Model'!I7</f>
        <v>-118.193651091094</v>
      </c>
      <c r="J12" s="44" t="n">
        <f aca="false">Assumptions!J6*'Revenue Model'!J7</f>
        <v>-142.95370569146</v>
      </c>
      <c r="K12" s="44" t="n">
        <f aca="false">Assumptions!K6*'Revenue Model'!K7</f>
        <v>-175.367253790939</v>
      </c>
      <c r="L12" s="44" t="n">
        <f aca="false">Assumptions!L6*'Revenue Model'!L7</f>
        <v>-214.765295079505</v>
      </c>
    </row>
    <row r="13" customFormat="false" ht="14.25" hidden="false" customHeight="true" outlineLevel="0" collapsed="false">
      <c r="A13" s="13" t="s">
        <v>179</v>
      </c>
      <c r="C13" s="44" t="n">
        <v>0</v>
      </c>
      <c r="D13" s="44" t="n">
        <v>0</v>
      </c>
      <c r="E13" s="44" t="n">
        <v>0</v>
      </c>
      <c r="F13" s="44" t="n">
        <v>0</v>
      </c>
      <c r="G13" s="44" t="n">
        <v>0</v>
      </c>
      <c r="H13" s="44" t="n">
        <f aca="false">0</f>
        <v>0</v>
      </c>
      <c r="I13" s="44" t="n">
        <f aca="false">0</f>
        <v>0</v>
      </c>
      <c r="J13" s="44" t="n">
        <f aca="false">0</f>
        <v>0</v>
      </c>
      <c r="K13" s="44" t="n">
        <f aca="false">0</f>
        <v>0</v>
      </c>
      <c r="L13" s="44" t="n">
        <f aca="false">0</f>
        <v>0</v>
      </c>
    </row>
    <row r="14" customFormat="false" ht="14.25" hidden="false" customHeight="true" outlineLevel="0" collapsed="false">
      <c r="A14" s="13" t="s">
        <v>180</v>
      </c>
      <c r="C14" s="44" t="n">
        <v>1951.02</v>
      </c>
      <c r="D14" s="44" t="n">
        <v>1995.78</v>
      </c>
      <c r="E14" s="44" t="n">
        <v>2250.05</v>
      </c>
      <c r="F14" s="44" t="n">
        <v>2471.55</v>
      </c>
      <c r="G14" s="44" t="n">
        <v>2680.07</v>
      </c>
      <c r="H14" s="44" t="n">
        <f aca="false">Assumptions!H7*'Revenue Model'!H7</f>
        <v>3310.09533979829</v>
      </c>
      <c r="I14" s="44" t="n">
        <f aca="false">Assumptions!I7*'Revenue Model'!I7</f>
        <v>4024.68651021357</v>
      </c>
      <c r="J14" s="44" t="n">
        <f aca="false">Assumptions!J7*'Revenue Model'!J7</f>
        <v>4867.80673555831</v>
      </c>
      <c r="K14" s="44" t="n">
        <f aca="false">Assumptions!K7*'Revenue Model'!K7</f>
        <v>5971.54089200288</v>
      </c>
      <c r="L14" s="44" t="n">
        <f aca="false">Assumptions!L7*'Revenue Model'!L7</f>
        <v>7313.10842832275</v>
      </c>
    </row>
    <row r="15" customFormat="false" ht="14.25" hidden="false" customHeight="true" outlineLevel="0" collapsed="false">
      <c r="A15" s="13" t="s">
        <v>181</v>
      </c>
      <c r="C15" s="44" t="n">
        <v>46.41</v>
      </c>
      <c r="D15" s="44" t="n">
        <v>53.1</v>
      </c>
      <c r="E15" s="44" t="n">
        <v>104.88</v>
      </c>
      <c r="F15" s="44" t="n">
        <v>76.37</v>
      </c>
      <c r="G15" s="44" t="n">
        <v>70.65</v>
      </c>
      <c r="H15" s="44" t="n">
        <f aca="false">Schedules!H50</f>
        <v>83.6328006341892</v>
      </c>
      <c r="I15" s="44" t="n">
        <f aca="false">Schedules!I50</f>
        <v>80.8216363810353</v>
      </c>
      <c r="J15" s="44" t="n">
        <f aca="false">Schedules!J50</f>
        <v>84.1223203776384</v>
      </c>
      <c r="K15" s="44" t="n">
        <f aca="false">Schedules!K50</f>
        <v>84.4143121635612</v>
      </c>
      <c r="L15" s="44" t="n">
        <f aca="false">Schedules!L50</f>
        <v>86.3327164131695</v>
      </c>
    </row>
    <row r="16" customFormat="false" ht="14.25" hidden="false" customHeight="true" outlineLevel="0" collapsed="false">
      <c r="A16" s="13" t="s">
        <v>182</v>
      </c>
      <c r="C16" s="44" t="n">
        <v>715.12</v>
      </c>
      <c r="D16" s="44" t="n">
        <v>689.52</v>
      </c>
      <c r="E16" s="44" t="n">
        <v>697.39</v>
      </c>
      <c r="F16" s="44" t="n">
        <v>757.36</v>
      </c>
      <c r="G16" s="44" t="n">
        <v>824.59</v>
      </c>
      <c r="H16" s="44" t="n">
        <f aca="false">Schedules!H77</f>
        <v>859.648982041881</v>
      </c>
      <c r="I16" s="44" t="n">
        <f aca="false">Schedules!I77</f>
        <v>931.98420740657</v>
      </c>
      <c r="J16" s="44" t="n">
        <f aca="false">Schedules!J77</f>
        <v>1015.03594574882</v>
      </c>
      <c r="K16" s="44" t="n">
        <f aca="false">Schedules!K77</f>
        <v>1093.76326930798</v>
      </c>
      <c r="L16" s="44" t="n">
        <f aca="false">Schedules!L77</f>
        <v>1185.24591859225</v>
      </c>
    </row>
    <row r="17" customFormat="false" ht="14.25" hidden="false" customHeight="true" outlineLevel="0" collapsed="false">
      <c r="A17" s="13" t="s">
        <v>183</v>
      </c>
      <c r="C17" s="44" t="n">
        <v>3165.05</v>
      </c>
      <c r="D17" s="44" t="n">
        <v>3190.37</v>
      </c>
      <c r="E17" s="44" t="n">
        <v>3870.53</v>
      </c>
      <c r="F17" s="44" t="n">
        <v>4458</v>
      </c>
      <c r="G17" s="44" t="n">
        <v>5386.87</v>
      </c>
      <c r="H17" s="44" t="n">
        <f aca="false">Assumptions!H8*'Revenue Model'!H7</f>
        <v>6105.16995971331</v>
      </c>
      <c r="I17" s="44" t="n">
        <f aca="false">Assumptions!I8*'Revenue Model'!I7</f>
        <v>7423.16841572201</v>
      </c>
      <c r="J17" s="44" t="n">
        <f aca="false">Assumptions!J8*'Revenue Model'!J7</f>
        <v>8978.22702998993</v>
      </c>
      <c r="K17" s="44" t="n">
        <f aca="false">Assumptions!K8*'Revenue Model'!K7</f>
        <v>11013.9643498236</v>
      </c>
      <c r="L17" s="44" t="n">
        <f aca="false">Assumptions!L8*'Revenue Model'!L7</f>
        <v>13488.3637192888</v>
      </c>
    </row>
    <row r="18" customFormat="false" ht="14.25" hidden="false" customHeight="true" outlineLevel="0" collapsed="false">
      <c r="A18" s="38" t="s">
        <v>184</v>
      </c>
      <c r="C18" s="48" t="n">
        <f aca="false">SUM(C10:C17)</f>
        <v>27621.21</v>
      </c>
      <c r="D18" s="48" t="n">
        <f aca="false">SUM(D10:D17)</f>
        <v>26849.13</v>
      </c>
      <c r="E18" s="48" t="n">
        <f aca="false">SUM(E10:E17)</f>
        <v>30866.88</v>
      </c>
      <c r="F18" s="48" t="n">
        <f aca="false">SUM(F10:F17)</f>
        <v>33272.72</v>
      </c>
      <c r="G18" s="48" t="n">
        <f aca="false">SUM(G10:G17)</f>
        <v>35872.82</v>
      </c>
      <c r="H18" s="48" t="n">
        <f aca="false">SUM(H10:H17)</f>
        <v>44569.0543910053</v>
      </c>
      <c r="I18" s="48" t="n">
        <f aca="false">SUM(I10:I17)</f>
        <v>54056.6128916797</v>
      </c>
      <c r="J18" s="48" t="n">
        <f aca="false">SUM(J10:J17)</f>
        <v>65254.9628417437</v>
      </c>
      <c r="K18" s="48" t="n">
        <f aca="false">SUM(K10:K17)</f>
        <v>79880.7702058073</v>
      </c>
      <c r="L18" s="48" t="n">
        <f aca="false">SUM(L10:L17)</f>
        <v>97655.5110003813</v>
      </c>
    </row>
    <row r="19" customFormat="false" ht="14.25" hidden="false" customHeight="true" outlineLevel="0" collapsed="false">
      <c r="C19" s="56"/>
      <c r="D19" s="56"/>
      <c r="E19" s="56"/>
      <c r="F19" s="56"/>
      <c r="G19" s="56"/>
      <c r="H19" s="56"/>
      <c r="I19" s="56"/>
      <c r="J19" s="56"/>
      <c r="K19" s="56"/>
      <c r="L19" s="56"/>
    </row>
    <row r="20" customFormat="false" ht="14.25" hidden="false" customHeight="true" outlineLevel="0" collapsed="false">
      <c r="A20" s="38" t="s">
        <v>185</v>
      </c>
      <c r="C20" s="48" t="n">
        <f aca="false">C7-C18</f>
        <v>3895.88</v>
      </c>
      <c r="D20" s="48" t="n">
        <f aca="false">D7-D18</f>
        <v>3257.16</v>
      </c>
      <c r="E20" s="48" t="n">
        <f aca="false">E7-E18</f>
        <v>3860.51</v>
      </c>
      <c r="F20" s="48" t="n">
        <f aca="false">F7-F18</f>
        <v>5370.44</v>
      </c>
      <c r="G20" s="48" t="n">
        <f aca="false">G7-G18</f>
        <v>6094.68</v>
      </c>
      <c r="H20" s="48" t="n">
        <f aca="false">H7-H18</f>
        <v>6988.38208527421</v>
      </c>
      <c r="I20" s="48" t="n">
        <f aca="false">I7-I18</f>
        <v>8631.16428271429</v>
      </c>
      <c r="J20" s="48" t="n">
        <f aca="false">J7-J18</f>
        <v>10565.0999612349</v>
      </c>
      <c r="K20" s="48" t="n">
        <f aca="false">K7-K18</f>
        <v>13130.8529046332</v>
      </c>
      <c r="L20" s="48" t="n">
        <f aca="false">L7-L18</f>
        <v>16252.1214185601</v>
      </c>
    </row>
    <row r="21" customFormat="false" ht="14.25" hidden="false" customHeight="true" outlineLevel="0" collapsed="false">
      <c r="A21" s="13" t="s">
        <v>186</v>
      </c>
      <c r="C21" s="44" t="n">
        <v>-46.56</v>
      </c>
      <c r="D21" s="44" t="n">
        <v>-199.05</v>
      </c>
      <c r="E21" s="44" t="n">
        <v>3.11</v>
      </c>
      <c r="F21" s="44" t="n">
        <v>-120.25</v>
      </c>
      <c r="G21" s="44" t="n">
        <v>-161.12</v>
      </c>
      <c r="H21" s="44" t="n">
        <f aca="false">Assumptions!H10</f>
        <v>-92.7533333333333</v>
      </c>
      <c r="I21" s="44" t="n">
        <f aca="false">Assumptions!I10</f>
        <v>-92.7533333333333</v>
      </c>
      <c r="J21" s="44" t="n">
        <f aca="false">Assumptions!J10</f>
        <v>-92.7533333333333</v>
      </c>
      <c r="K21" s="44" t="n">
        <f aca="false">Assumptions!K10</f>
        <v>-92.7533333333333</v>
      </c>
      <c r="L21" s="44" t="n">
        <f aca="false">Assumptions!L10</f>
        <v>-92.7533333333333</v>
      </c>
    </row>
    <row r="22" customFormat="false" ht="14.25" hidden="false" customHeight="true" outlineLevel="0" collapsed="false">
      <c r="A22" s="38" t="s">
        <v>187</v>
      </c>
      <c r="C22" s="48" t="n">
        <f aca="false">C20+C21</f>
        <v>3849.32</v>
      </c>
      <c r="D22" s="48" t="n">
        <f aca="false">D20+D21</f>
        <v>3058.11</v>
      </c>
      <c r="E22" s="48" t="n">
        <f aca="false">E20+E21</f>
        <v>3863.62</v>
      </c>
      <c r="F22" s="48" t="n">
        <f aca="false">F20+F21</f>
        <v>5250.19</v>
      </c>
      <c r="G22" s="48" t="n">
        <f aca="false">G20+G21</f>
        <v>5933.56</v>
      </c>
      <c r="H22" s="48" t="n">
        <f aca="false">H20+H21</f>
        <v>6895.62875194088</v>
      </c>
      <c r="I22" s="48" t="n">
        <f aca="false">I20+I21</f>
        <v>8538.41094938096</v>
      </c>
      <c r="J22" s="48" t="n">
        <f aca="false">J20+J21</f>
        <v>10472.3466279016</v>
      </c>
      <c r="K22" s="48" t="n">
        <f aca="false">K20+K21</f>
        <v>13038.0995712998</v>
      </c>
      <c r="L22" s="48" t="n">
        <f aca="false">L20+L21</f>
        <v>16159.3680852268</v>
      </c>
    </row>
    <row r="23" customFormat="false" ht="14.25" hidden="false" customHeight="true" outlineLevel="0" collapsed="false">
      <c r="A23" s="13" t="s">
        <v>188</v>
      </c>
      <c r="C23" s="44" t="n">
        <v>0</v>
      </c>
      <c r="D23" s="44" t="n">
        <v>0</v>
      </c>
      <c r="E23" s="44" t="n">
        <v>0</v>
      </c>
      <c r="F23" s="44" t="n">
        <v>-159.99</v>
      </c>
      <c r="G23" s="44" t="n">
        <v>0</v>
      </c>
      <c r="H23" s="44" t="n">
        <f aca="false">0</f>
        <v>0</v>
      </c>
      <c r="I23" s="44" t="n">
        <f aca="false">0</f>
        <v>0</v>
      </c>
      <c r="J23" s="44" t="n">
        <f aca="false">0</f>
        <v>0</v>
      </c>
      <c r="K23" s="44" t="n">
        <f aca="false">0</f>
        <v>0</v>
      </c>
      <c r="L23" s="44" t="n">
        <f aca="false">0</f>
        <v>0</v>
      </c>
    </row>
    <row r="24" s="46" customFormat="true" ht="14.25" hidden="false" customHeight="true" outlineLevel="0" collapsed="false">
      <c r="A24" s="45" t="s">
        <v>189</v>
      </c>
      <c r="C24" s="57" t="n">
        <f aca="false">C22+C23</f>
        <v>3849.32</v>
      </c>
      <c r="D24" s="57" t="n">
        <f aca="false">D22+D23</f>
        <v>3058.11</v>
      </c>
      <c r="E24" s="57" t="n">
        <f aca="false">E22+E23</f>
        <v>3863.62</v>
      </c>
      <c r="F24" s="57" t="n">
        <f aca="false">F22+F23</f>
        <v>5090.2</v>
      </c>
      <c r="G24" s="57" t="n">
        <f aca="false">G22+G23</f>
        <v>5933.56</v>
      </c>
      <c r="H24" s="57" t="n">
        <f aca="false">H22+H23</f>
        <v>6895.62875194088</v>
      </c>
      <c r="I24" s="57" t="n">
        <f aca="false">I22+I23</f>
        <v>8538.41094938096</v>
      </c>
      <c r="J24" s="57" t="n">
        <f aca="false">J22+J23</f>
        <v>10472.3466279016</v>
      </c>
      <c r="K24" s="57" t="n">
        <f aca="false">K22+K23</f>
        <v>13038.0995712998</v>
      </c>
      <c r="L24" s="57" t="n">
        <f aca="false">L22+L23</f>
        <v>16159.3680852268</v>
      </c>
    </row>
    <row r="25" customFormat="false" ht="14.25" hidden="false" customHeight="true" outlineLevel="0" collapsed="false">
      <c r="C25" s="56"/>
      <c r="D25" s="56"/>
      <c r="E25" s="56"/>
      <c r="F25" s="56"/>
      <c r="G25" s="56"/>
      <c r="H25" s="56"/>
      <c r="I25" s="56"/>
      <c r="J25" s="56"/>
      <c r="K25" s="56"/>
      <c r="L25" s="56"/>
    </row>
    <row r="26" customFormat="false" ht="14.25" hidden="false" customHeight="true" outlineLevel="0" collapsed="false">
      <c r="A26" s="24" t="s">
        <v>190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</row>
    <row r="27" customFormat="false" ht="14.25" hidden="false" customHeight="true" outlineLevel="0" collapsed="false">
      <c r="A27" s="13" t="s">
        <v>191</v>
      </c>
      <c r="C27" s="44" t="n">
        <v>931.38</v>
      </c>
      <c r="D27" s="44" t="n">
        <v>805.44</v>
      </c>
      <c r="E27" s="44" t="n">
        <v>947.69</v>
      </c>
      <c r="F27" s="44" t="n">
        <v>1264.18</v>
      </c>
      <c r="G27" s="44" t="n">
        <v>1448.02</v>
      </c>
      <c r="H27" s="56"/>
      <c r="I27" s="56"/>
      <c r="J27" s="56"/>
      <c r="K27" s="56"/>
      <c r="L27" s="56"/>
    </row>
    <row r="28" customFormat="false" ht="14.25" hidden="false" customHeight="true" outlineLevel="0" collapsed="false">
      <c r="A28" s="13" t="s">
        <v>192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56"/>
      <c r="I28" s="56"/>
      <c r="J28" s="56"/>
      <c r="K28" s="56"/>
      <c r="L28" s="56"/>
    </row>
    <row r="29" customFormat="false" ht="14.25" hidden="false" customHeight="true" outlineLevel="0" collapsed="false">
      <c r="A29" s="13" t="s">
        <v>193</v>
      </c>
      <c r="C29" s="44" t="n">
        <v>-18.11</v>
      </c>
      <c r="D29" s="44" t="n">
        <v>-76.38</v>
      </c>
      <c r="E29" s="44" t="n">
        <v>116.03</v>
      </c>
      <c r="F29" s="44" t="n">
        <v>83.86</v>
      </c>
      <c r="G29" s="44" t="n">
        <v>109.73</v>
      </c>
      <c r="H29" s="56"/>
      <c r="I29" s="56"/>
      <c r="J29" s="56"/>
      <c r="K29" s="56"/>
      <c r="L29" s="56"/>
    </row>
    <row r="30" customFormat="false" ht="14.25" hidden="false" customHeight="true" outlineLevel="0" collapsed="false">
      <c r="A30" s="24" t="s">
        <v>194</v>
      </c>
      <c r="C30" s="58" t="n">
        <f aca="false">SUM(C27:C29)</f>
        <v>913.27</v>
      </c>
      <c r="D30" s="58" t="n">
        <f aca="false">SUM(D27:D29)</f>
        <v>729.06</v>
      </c>
      <c r="E30" s="58" t="n">
        <f aca="false">SUM(E27:E29)</f>
        <v>1063.72</v>
      </c>
      <c r="F30" s="58" t="n">
        <f aca="false">SUM(F27:F29)</f>
        <v>1348.04</v>
      </c>
      <c r="G30" s="58" t="n">
        <f aca="false">SUM(G27:G29)</f>
        <v>1557.75</v>
      </c>
      <c r="H30" s="44" t="n">
        <f aca="false">Assumptions!H11*H24</f>
        <v>1844.99326763917</v>
      </c>
      <c r="I30" s="44" t="n">
        <f aca="false">Assumptions!I11*I24</f>
        <v>2284.53579574023</v>
      </c>
      <c r="J30" s="44" t="n">
        <f aca="false">Assumptions!J11*J24</f>
        <v>2801.97930020869</v>
      </c>
      <c r="K30" s="44" t="n">
        <f aca="false">Assumptions!K11*K24</f>
        <v>3488.4717256692</v>
      </c>
      <c r="L30" s="44" t="n">
        <f aca="false">Assumptions!L11*L24</f>
        <v>4323.59780363104</v>
      </c>
    </row>
    <row r="31" s="46" customFormat="true" ht="14.25" hidden="false" customHeight="true" outlineLevel="0" collapsed="false">
      <c r="A31" s="45" t="s">
        <v>195</v>
      </c>
      <c r="C31" s="57" t="n">
        <f aca="false">C24-C30</f>
        <v>2936.05</v>
      </c>
      <c r="D31" s="57" t="n">
        <f aca="false">D24-D30</f>
        <v>2329.05</v>
      </c>
      <c r="E31" s="57" t="n">
        <f aca="false">E24-E30</f>
        <v>2799.9</v>
      </c>
      <c r="F31" s="57" t="n">
        <f aca="false">F24-F30</f>
        <v>3742.16</v>
      </c>
      <c r="G31" s="57" t="n">
        <f aca="false">G24-G30</f>
        <v>4375.81</v>
      </c>
      <c r="H31" s="57" t="n">
        <f aca="false">H24-H30</f>
        <v>5050.63548430171</v>
      </c>
      <c r="I31" s="57" t="n">
        <f aca="false">I24-I30</f>
        <v>6253.87515364073</v>
      </c>
      <c r="J31" s="57" t="n">
        <f aca="false">J24-J30</f>
        <v>7670.36732769291</v>
      </c>
      <c r="K31" s="57" t="n">
        <f aca="false">K24-K30</f>
        <v>9549.62784563063</v>
      </c>
      <c r="L31" s="57" t="n">
        <f aca="false">L24-L30</f>
        <v>11835.7702815957</v>
      </c>
    </row>
    <row r="32" customFormat="false" ht="14.25" hidden="false" customHeight="true" outlineLevel="0" collapsed="false">
      <c r="C32" s="56"/>
      <c r="D32" s="56"/>
      <c r="E32" s="56"/>
      <c r="F32" s="56"/>
      <c r="G32" s="56"/>
      <c r="H32" s="56"/>
      <c r="I32" s="56"/>
      <c r="J32" s="56"/>
      <c r="K32" s="56"/>
      <c r="L32" s="56"/>
    </row>
    <row r="33" customFormat="false" ht="14.25" hidden="false" customHeight="true" outlineLevel="0" collapsed="false">
      <c r="A33" s="25" t="s">
        <v>196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</row>
    <row r="34" customFormat="false" ht="14.25" hidden="false" customHeight="true" outlineLevel="0" collapsed="false">
      <c r="A34" s="13" t="s">
        <v>197</v>
      </c>
      <c r="C34" s="44" t="n">
        <f aca="false">C5-SUM(C10:C14,C16:C17)</f>
        <v>3384.39</v>
      </c>
      <c r="D34" s="44" t="n">
        <f aca="false">D5-SUM(D10:D14,D16:D17)</f>
        <v>2755.25</v>
      </c>
      <c r="E34" s="44" t="n">
        <f aca="false">E5-SUM(E10:E14,E16:E17)</f>
        <v>3396.38</v>
      </c>
      <c r="F34" s="44" t="n">
        <f aca="false">F5-SUM(F10:F14,F16:F17)</f>
        <v>4592.27</v>
      </c>
      <c r="G34" s="44" t="n">
        <f aca="false">G5-SUM(G10:G14,G16:G17)</f>
        <v>5121.25</v>
      </c>
      <c r="H34" s="44" t="n">
        <f aca="false">H5-SUM(H10:H14,H16:H17)</f>
        <v>5982.17229437462</v>
      </c>
      <c r="I34" s="44" t="n">
        <f aca="false">I5-SUM(I10:I14,I16:I17)</f>
        <v>7386.86554456572</v>
      </c>
      <c r="J34" s="44" t="n">
        <f aca="false">J5-SUM(J10:J14,J16:J17)</f>
        <v>9046.50617734178</v>
      </c>
      <c r="K34" s="44" t="n">
        <f aca="false">K5-SUM(K10:K14,K16:K17)</f>
        <v>11249.1487419171</v>
      </c>
      <c r="L34" s="44" t="n">
        <f aca="false">L5-SUM(L10:L14,L16:L17)</f>
        <v>13930.6271017566</v>
      </c>
      <c r="M34" s="1" t="s">
        <v>198</v>
      </c>
    </row>
    <row r="35" customFormat="false" ht="14.25" hidden="false" customHeight="true" outlineLevel="0" collapsed="false">
      <c r="A35" s="13" t="s">
        <v>69</v>
      </c>
      <c r="C35" s="44" t="n">
        <f aca="false">C30/C24</f>
        <v>0.237254891773093</v>
      </c>
      <c r="D35" s="44" t="n">
        <f aca="false">D30/D24</f>
        <v>0.238402150347764</v>
      </c>
      <c r="E35" s="44" t="n">
        <f aca="false">E30/E24</f>
        <v>0.27531693075406</v>
      </c>
      <c r="F35" s="44" t="n">
        <f aca="false">F30/F24</f>
        <v>0.264830458528152</v>
      </c>
      <c r="G35" s="44" t="n">
        <f aca="false">G30/G24</f>
        <v>0.26253210551507</v>
      </c>
      <c r="H35" s="44" t="n">
        <f aca="false">H30/H24</f>
        <v>0.267559831599094</v>
      </c>
      <c r="I35" s="44" t="n">
        <f aca="false">I30/I24</f>
        <v>0.267559831599094</v>
      </c>
      <c r="J35" s="44" t="n">
        <f aca="false">J30/J24</f>
        <v>0.267559831599094</v>
      </c>
      <c r="K35" s="44" t="n">
        <f aca="false">K30/K24</f>
        <v>0.267559831599094</v>
      </c>
      <c r="L35" s="44" t="n">
        <f aca="false">L30/L24</f>
        <v>0.267559831599094</v>
      </c>
    </row>
    <row r="36" customFormat="false" ht="14.25" hidden="false" customHeight="true" outlineLevel="0" collapsed="false">
      <c r="A36" s="13" t="s">
        <v>199</v>
      </c>
      <c r="C36" s="59" t="n">
        <f aca="false">C31/C5</f>
        <v>0.0948361375087655</v>
      </c>
      <c r="D36" s="59" t="n">
        <f aca="false">D31/D5</f>
        <v>0.0788138449502017</v>
      </c>
      <c r="E36" s="59" t="n">
        <f aca="false">E31/E5</f>
        <v>0.0819681729637061</v>
      </c>
      <c r="F36" s="59" t="n">
        <f aca="false">F31/F5</f>
        <v>0.0990287552178408</v>
      </c>
      <c r="G36" s="59" t="n">
        <f aca="false">G31/G5</f>
        <v>0.10692679155359</v>
      </c>
      <c r="H36" s="59" t="n">
        <f aca="false">H31/H5</f>
        <v>0.100076803658125</v>
      </c>
      <c r="I36" s="59" t="n">
        <f aca="false">I31/I5</f>
        <v>0.101916629425578</v>
      </c>
      <c r="J36" s="59" t="n">
        <f aca="false">J31/J5</f>
        <v>0.103350061257666</v>
      </c>
      <c r="K36" s="59" t="n">
        <f aca="false">K31/K5</f>
        <v>0.104888515735687</v>
      </c>
      <c r="L36" s="59" t="n">
        <f aca="false">L31/L5</f>
        <v>0.106150591390279</v>
      </c>
    </row>
    <row r="37" customFormat="false" ht="14.25" hidden="false" customHeight="true" outlineLevel="0" collapsed="false">
      <c r="A37" s="13" t="s">
        <v>200</v>
      </c>
      <c r="C37" s="59" t="n">
        <f aca="false">C34/C5</f>
        <v>0.109317782538884</v>
      </c>
      <c r="D37" s="59" t="n">
        <f aca="false">D34/D5</f>
        <v>0.0932362320684585</v>
      </c>
      <c r="E37" s="59" t="n">
        <f aca="false">E34/E5</f>
        <v>0.0994303594022901</v>
      </c>
      <c r="F37" s="59" t="n">
        <f aca="false">F34/F5</f>
        <v>0.121525210499881</v>
      </c>
      <c r="G37" s="59" t="n">
        <f aca="false">G34/G5</f>
        <v>0.125142277942557</v>
      </c>
      <c r="H37" s="59" t="n">
        <f aca="false">H34/H5</f>
        <v>0.118534921796277</v>
      </c>
      <c r="I37" s="59" t="n">
        <f aca="false">I34/I5</f>
        <v>0.120380471280084</v>
      </c>
      <c r="J37" s="59" t="n">
        <f aca="false">J34/J5</f>
        <v>0.12189207213331</v>
      </c>
      <c r="K37" s="59" t="n">
        <f aca="false">K34/K5</f>
        <v>0.123555235230399</v>
      </c>
      <c r="L37" s="59" t="n">
        <f aca="false">L34/L5</f>
        <v>0.124938577727241</v>
      </c>
      <c r="M37" s="1" t="s">
        <v>201</v>
      </c>
    </row>
    <row r="38" customFormat="false" ht="14.25" hidden="false" customHeight="true" outlineLevel="0" collapsed="false">
      <c r="C38" s="56"/>
      <c r="D38" s="56"/>
      <c r="E38" s="56"/>
      <c r="F38" s="56"/>
      <c r="G38" s="56"/>
      <c r="H38" s="56"/>
      <c r="I38" s="56"/>
      <c r="J38" s="56"/>
      <c r="K38" s="56"/>
      <c r="L38" s="56"/>
    </row>
    <row r="39" customFormat="false" ht="14.25" hidden="false" customHeight="true" outlineLevel="0" collapsed="false">
      <c r="C39" s="56"/>
      <c r="D39" s="56"/>
      <c r="E39" s="56"/>
      <c r="F39" s="56"/>
      <c r="G39" s="56"/>
      <c r="H39" s="56"/>
      <c r="I39" s="56"/>
      <c r="J39" s="56"/>
      <c r="K39" s="56"/>
      <c r="L39" s="56"/>
    </row>
    <row r="40" customFormat="false" ht="14.25" hidden="false" customHeight="true" outlineLevel="0" collapsed="false">
      <c r="C40" s="56"/>
      <c r="D40" s="56"/>
      <c r="E40" s="56"/>
      <c r="F40" s="56"/>
      <c r="G40" s="56"/>
      <c r="H40" s="56"/>
      <c r="I40" s="56"/>
      <c r="J40" s="56"/>
      <c r="K40" s="56"/>
      <c r="L40" s="56"/>
    </row>
    <row r="41" customFormat="false" ht="14.25" hidden="false" customHeight="true" outlineLevel="0" collapsed="false">
      <c r="C41" s="56"/>
      <c r="D41" s="56"/>
      <c r="E41" s="56"/>
      <c r="F41" s="56"/>
      <c r="G41" s="56"/>
      <c r="H41" s="56"/>
      <c r="I41" s="56"/>
      <c r="J41" s="56"/>
      <c r="K41" s="56"/>
      <c r="L41" s="56"/>
    </row>
    <row r="42" customFormat="false" ht="14.25" hidden="false" customHeight="true" outlineLevel="0" collapsed="false">
      <c r="C42" s="56"/>
      <c r="D42" s="56"/>
      <c r="E42" s="56"/>
      <c r="F42" s="56"/>
      <c r="G42" s="56"/>
      <c r="H42" s="56"/>
      <c r="I42" s="56"/>
      <c r="J42" s="56"/>
      <c r="K42" s="56"/>
      <c r="L42" s="56"/>
    </row>
    <row r="43" customFormat="false" ht="14.25" hidden="false" customHeight="true" outlineLevel="0" collapsed="false">
      <c r="C43" s="56"/>
      <c r="D43" s="56"/>
      <c r="E43" s="56"/>
      <c r="F43" s="56"/>
      <c r="G43" s="56"/>
      <c r="H43" s="56"/>
      <c r="I43" s="56"/>
      <c r="J43" s="56"/>
      <c r="K43" s="56"/>
      <c r="L43" s="56"/>
    </row>
    <row r="44" customFormat="false" ht="14.25" hidden="false" customHeight="true" outlineLevel="0" collapsed="false">
      <c r="C44" s="56"/>
      <c r="D44" s="56"/>
      <c r="E44" s="56"/>
      <c r="F44" s="56"/>
      <c r="G44" s="56"/>
      <c r="H44" s="56"/>
      <c r="I44" s="56"/>
      <c r="J44" s="56"/>
      <c r="K44" s="56"/>
      <c r="L44" s="56"/>
    </row>
    <row r="45" customFormat="false" ht="14.25" hidden="false" customHeight="true" outlineLevel="0" collapsed="false">
      <c r="C45" s="56"/>
      <c r="D45" s="56"/>
      <c r="E45" s="56"/>
      <c r="F45" s="56"/>
      <c r="G45" s="56"/>
      <c r="H45" s="56"/>
      <c r="I45" s="56"/>
      <c r="J45" s="56"/>
      <c r="K45" s="56"/>
      <c r="L45" s="56"/>
    </row>
    <row r="46" customFormat="false" ht="14.25" hidden="false" customHeight="true" outlineLevel="0" collapsed="false">
      <c r="C46" s="56"/>
      <c r="D46" s="56"/>
      <c r="E46" s="56"/>
      <c r="F46" s="56"/>
      <c r="G46" s="56"/>
      <c r="H46" s="56"/>
      <c r="I46" s="56"/>
      <c r="J46" s="56"/>
      <c r="K46" s="56"/>
      <c r="L46" s="56"/>
    </row>
    <row r="47" customFormat="false" ht="14.25" hidden="false" customHeight="true" outlineLevel="0" collapsed="false"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customFormat="false" ht="14.25" hidden="false" customHeight="true" outlineLevel="0" collapsed="false"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 customFormat="false" ht="14.25" hidden="false" customHeight="true" outlineLevel="0" collapsed="false"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0" customFormat="false" ht="14.25" hidden="false" customHeight="true" outlineLevel="0" collapsed="false">
      <c r="C50" s="56"/>
      <c r="D50" s="56"/>
      <c r="E50" s="56"/>
      <c r="F50" s="56"/>
      <c r="G50" s="56"/>
      <c r="H50" s="56"/>
      <c r="I50" s="56"/>
      <c r="J50" s="56"/>
      <c r="K50" s="56"/>
      <c r="L50" s="56"/>
    </row>
    <row r="51" customFormat="false" ht="14.25" hidden="false" customHeight="true" outlineLevel="0" collapsed="false">
      <c r="C51" s="56"/>
      <c r="D51" s="56"/>
      <c r="E51" s="56"/>
      <c r="F51" s="56"/>
      <c r="G51" s="56"/>
      <c r="H51" s="56"/>
      <c r="I51" s="56"/>
      <c r="J51" s="56"/>
      <c r="K51" s="56"/>
      <c r="L51" s="56"/>
    </row>
    <row r="52" customFormat="false" ht="14.25" hidden="false" customHeight="true" outlineLevel="0" collapsed="false">
      <c r="C52" s="56"/>
      <c r="D52" s="56"/>
      <c r="E52" s="56"/>
      <c r="F52" s="56"/>
      <c r="G52" s="56"/>
      <c r="H52" s="56"/>
      <c r="I52" s="56"/>
      <c r="J52" s="56"/>
      <c r="K52" s="56"/>
      <c r="L52" s="56"/>
    </row>
    <row r="53" customFormat="false" ht="14.25" hidden="false" customHeight="true" outlineLevel="0" collapsed="false">
      <c r="C53" s="56"/>
      <c r="D53" s="56"/>
      <c r="E53" s="56"/>
      <c r="F53" s="56"/>
      <c r="G53" s="56"/>
      <c r="H53" s="56"/>
      <c r="I53" s="56"/>
      <c r="J53" s="56"/>
      <c r="K53" s="56"/>
      <c r="L53" s="56"/>
    </row>
    <row r="54" customFormat="false" ht="14.25" hidden="false" customHeight="true" outlineLevel="0" collapsed="false">
      <c r="C54" s="56"/>
      <c r="D54" s="56"/>
      <c r="E54" s="56"/>
      <c r="F54" s="56"/>
      <c r="G54" s="56"/>
      <c r="H54" s="56"/>
      <c r="I54" s="56"/>
      <c r="J54" s="56"/>
      <c r="K54" s="56"/>
      <c r="L54" s="56"/>
    </row>
    <row r="55" customFormat="false" ht="14.25" hidden="false" customHeight="true" outlineLevel="0" collapsed="false">
      <c r="C55" s="56"/>
      <c r="D55" s="56"/>
      <c r="E55" s="56"/>
      <c r="F55" s="56"/>
      <c r="G55" s="56"/>
      <c r="H55" s="56"/>
      <c r="I55" s="56"/>
      <c r="J55" s="56"/>
      <c r="K55" s="56"/>
      <c r="L55" s="56"/>
    </row>
    <row r="56" customFormat="false" ht="14.25" hidden="false" customHeight="true" outlineLevel="0" collapsed="false">
      <c r="C56" s="56"/>
      <c r="D56" s="56"/>
      <c r="E56" s="56"/>
      <c r="F56" s="56"/>
      <c r="G56" s="56"/>
      <c r="H56" s="56"/>
      <c r="I56" s="56"/>
      <c r="J56" s="56"/>
      <c r="K56" s="56"/>
      <c r="L56" s="56"/>
    </row>
    <row r="57" customFormat="false" ht="14.25" hidden="false" customHeight="true" outlineLevel="0" collapsed="false">
      <c r="C57" s="56"/>
      <c r="D57" s="56"/>
      <c r="E57" s="56"/>
      <c r="F57" s="56"/>
      <c r="G57" s="56"/>
      <c r="H57" s="56"/>
      <c r="I57" s="56"/>
      <c r="J57" s="56"/>
      <c r="K57" s="56"/>
      <c r="L57" s="56"/>
    </row>
    <row r="58" customFormat="false" ht="14.25" hidden="false" customHeight="true" outlineLevel="0" collapsed="false"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customFormat="false" ht="14.25" hidden="false" customHeight="true" outlineLevel="0" collapsed="false">
      <c r="C59" s="56"/>
      <c r="D59" s="56"/>
      <c r="E59" s="56"/>
      <c r="F59" s="56"/>
      <c r="G59" s="56"/>
      <c r="H59" s="56"/>
      <c r="I59" s="56"/>
      <c r="J59" s="56"/>
      <c r="K59" s="56"/>
      <c r="L59" s="56"/>
    </row>
    <row r="60" customFormat="false" ht="14.25" hidden="false" customHeight="true" outlineLevel="0" collapsed="false">
      <c r="C60" s="56"/>
      <c r="D60" s="56"/>
      <c r="E60" s="56"/>
      <c r="F60" s="56"/>
      <c r="G60" s="56"/>
      <c r="H60" s="56"/>
      <c r="I60" s="56"/>
      <c r="J60" s="56"/>
      <c r="K60" s="56"/>
      <c r="L60" s="56"/>
    </row>
    <row r="61" customFormat="false" ht="14.25" hidden="false" customHeight="true" outlineLevel="0" collapsed="false"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customFormat="false" ht="14.25" hidden="false" customHeight="true" outlineLevel="0" collapsed="false">
      <c r="C62" s="56"/>
      <c r="D62" s="56"/>
      <c r="E62" s="56"/>
      <c r="F62" s="56"/>
      <c r="G62" s="56"/>
      <c r="H62" s="56"/>
      <c r="I62" s="56"/>
      <c r="J62" s="56"/>
      <c r="K62" s="56"/>
      <c r="L62" s="56"/>
    </row>
    <row r="63" customFormat="false" ht="14.25" hidden="false" customHeight="true" outlineLevel="0" collapsed="false">
      <c r="C63" s="56"/>
      <c r="D63" s="56"/>
      <c r="E63" s="56"/>
      <c r="F63" s="56"/>
      <c r="G63" s="56"/>
      <c r="H63" s="56"/>
      <c r="I63" s="56"/>
      <c r="J63" s="56"/>
      <c r="K63" s="56"/>
      <c r="L63" s="56"/>
    </row>
    <row r="64" customFormat="false" ht="14.25" hidden="false" customHeight="true" outlineLevel="0" collapsed="false">
      <c r="C64" s="56"/>
      <c r="D64" s="56"/>
      <c r="E64" s="56"/>
      <c r="F64" s="56"/>
      <c r="G64" s="56"/>
      <c r="H64" s="56"/>
      <c r="I64" s="56"/>
      <c r="J64" s="56"/>
      <c r="K64" s="56"/>
      <c r="L64" s="56"/>
    </row>
    <row r="65" customFormat="false" ht="14.25" hidden="false" customHeight="true" outlineLevel="0" collapsed="false">
      <c r="C65" s="56"/>
      <c r="D65" s="56"/>
      <c r="E65" s="56"/>
      <c r="F65" s="56"/>
      <c r="G65" s="56"/>
      <c r="H65" s="56"/>
      <c r="I65" s="56"/>
      <c r="J65" s="56"/>
      <c r="K65" s="56"/>
      <c r="L65" s="56"/>
    </row>
    <row r="66" customFormat="false" ht="14.25" hidden="false" customHeight="true" outlineLevel="0" collapsed="false">
      <c r="C66" s="56"/>
      <c r="D66" s="56"/>
      <c r="E66" s="56"/>
      <c r="F66" s="56"/>
      <c r="G66" s="56"/>
      <c r="H66" s="56"/>
      <c r="I66" s="56"/>
      <c r="J66" s="56"/>
      <c r="K66" s="56"/>
      <c r="L66" s="56"/>
    </row>
    <row r="67" customFormat="false" ht="14.25" hidden="false" customHeight="true" outlineLevel="0" collapsed="false">
      <c r="C67" s="56"/>
      <c r="D67" s="56"/>
      <c r="E67" s="56"/>
      <c r="F67" s="56"/>
      <c r="G67" s="56"/>
      <c r="H67" s="56"/>
      <c r="I67" s="56"/>
      <c r="J67" s="56"/>
      <c r="K67" s="56"/>
      <c r="L67" s="56"/>
    </row>
    <row r="68" customFormat="false" ht="14.25" hidden="false" customHeight="true" outlineLevel="0" collapsed="false">
      <c r="C68" s="56"/>
      <c r="D68" s="56"/>
      <c r="E68" s="56"/>
      <c r="F68" s="56"/>
      <c r="G68" s="56"/>
      <c r="H68" s="56"/>
      <c r="I68" s="56"/>
      <c r="J68" s="56"/>
      <c r="K68" s="56"/>
      <c r="L68" s="56"/>
    </row>
    <row r="69" customFormat="false" ht="14.25" hidden="false" customHeight="true" outlineLevel="0" collapsed="false">
      <c r="C69" s="56"/>
      <c r="D69" s="56"/>
      <c r="E69" s="56"/>
      <c r="F69" s="56"/>
      <c r="G69" s="56"/>
      <c r="H69" s="56"/>
      <c r="I69" s="56"/>
      <c r="J69" s="56"/>
      <c r="K69" s="56"/>
      <c r="L69" s="56"/>
    </row>
    <row r="70" customFormat="false" ht="14.25" hidden="false" customHeight="true" outlineLevel="0" collapsed="false">
      <c r="C70" s="56"/>
      <c r="D70" s="56"/>
      <c r="E70" s="56"/>
      <c r="F70" s="56"/>
      <c r="G70" s="56"/>
      <c r="H70" s="56"/>
      <c r="I70" s="56"/>
      <c r="J70" s="56"/>
      <c r="K70" s="56"/>
      <c r="L70" s="56"/>
    </row>
    <row r="71" customFormat="false" ht="14.25" hidden="false" customHeight="true" outlineLevel="0" collapsed="false">
      <c r="C71" s="56"/>
      <c r="D71" s="56"/>
      <c r="E71" s="56"/>
      <c r="F71" s="56"/>
      <c r="G71" s="56"/>
      <c r="H71" s="56"/>
      <c r="I71" s="56"/>
      <c r="J71" s="56"/>
      <c r="K71" s="56"/>
      <c r="L71" s="56"/>
    </row>
    <row r="72" customFormat="false" ht="14.25" hidden="false" customHeight="true" outlineLevel="0" collapsed="false">
      <c r="C72" s="56"/>
      <c r="D72" s="56"/>
      <c r="E72" s="56"/>
      <c r="F72" s="56"/>
      <c r="G72" s="56"/>
      <c r="H72" s="56"/>
      <c r="I72" s="56"/>
      <c r="J72" s="56"/>
      <c r="K72" s="56"/>
      <c r="L72" s="56"/>
    </row>
    <row r="73" customFormat="false" ht="14.25" hidden="false" customHeight="true" outlineLevel="0" collapsed="false">
      <c r="C73" s="56"/>
      <c r="D73" s="56"/>
      <c r="E73" s="56"/>
      <c r="F73" s="56"/>
      <c r="G73" s="56"/>
      <c r="H73" s="56"/>
      <c r="I73" s="56"/>
      <c r="J73" s="56"/>
      <c r="K73" s="56"/>
      <c r="L73" s="56"/>
    </row>
    <row r="74" customFormat="false" ht="14.25" hidden="false" customHeight="true" outlineLevel="0" collapsed="false">
      <c r="C74" s="56"/>
      <c r="D74" s="56"/>
      <c r="E74" s="56"/>
      <c r="F74" s="56"/>
      <c r="G74" s="56"/>
      <c r="H74" s="56"/>
      <c r="I74" s="56"/>
      <c r="J74" s="56"/>
      <c r="K74" s="56"/>
      <c r="L74" s="56"/>
    </row>
    <row r="75" customFormat="false" ht="14.25" hidden="false" customHeight="true" outlineLevel="0" collapsed="false">
      <c r="C75" s="56"/>
      <c r="D75" s="56"/>
      <c r="E75" s="56"/>
      <c r="F75" s="56"/>
      <c r="G75" s="56"/>
      <c r="H75" s="56"/>
      <c r="I75" s="56"/>
      <c r="J75" s="56"/>
      <c r="K75" s="56"/>
      <c r="L75" s="56"/>
    </row>
    <row r="76" customFormat="false" ht="14.25" hidden="false" customHeight="true" outlineLevel="0" collapsed="false">
      <c r="C76" s="56"/>
      <c r="D76" s="56"/>
      <c r="E76" s="56"/>
      <c r="F76" s="56"/>
      <c r="G76" s="56"/>
      <c r="H76" s="56"/>
      <c r="I76" s="56"/>
      <c r="J76" s="56"/>
      <c r="K76" s="56"/>
      <c r="L76" s="56"/>
    </row>
    <row r="77" customFormat="false" ht="14.25" hidden="false" customHeight="true" outlineLevel="0" collapsed="false">
      <c r="C77" s="56"/>
      <c r="D77" s="56"/>
      <c r="E77" s="56"/>
      <c r="F77" s="56"/>
      <c r="G77" s="56"/>
      <c r="H77" s="56"/>
      <c r="I77" s="56"/>
      <c r="J77" s="56"/>
      <c r="K77" s="56"/>
      <c r="L77" s="56"/>
    </row>
    <row r="78" customFormat="false" ht="14.25" hidden="false" customHeight="true" outlineLevel="0" collapsed="false">
      <c r="C78" s="56"/>
      <c r="D78" s="56"/>
      <c r="E78" s="56"/>
      <c r="F78" s="56"/>
      <c r="G78" s="56"/>
      <c r="H78" s="56"/>
      <c r="I78" s="56"/>
      <c r="J78" s="56"/>
      <c r="K78" s="56"/>
      <c r="L78" s="56"/>
    </row>
    <row r="79" customFormat="false" ht="14.25" hidden="false" customHeight="true" outlineLevel="0" collapsed="false">
      <c r="C79" s="56"/>
      <c r="D79" s="56"/>
      <c r="E79" s="56"/>
      <c r="F79" s="56"/>
      <c r="G79" s="56"/>
      <c r="H79" s="56"/>
      <c r="I79" s="56"/>
      <c r="J79" s="56"/>
      <c r="K79" s="56"/>
      <c r="L79" s="56"/>
    </row>
    <row r="80" customFormat="false" ht="14.25" hidden="false" customHeight="true" outlineLevel="0" collapsed="false">
      <c r="C80" s="56"/>
      <c r="D80" s="56"/>
      <c r="E80" s="56"/>
      <c r="F80" s="56"/>
      <c r="G80" s="56"/>
      <c r="H80" s="56"/>
      <c r="I80" s="56"/>
      <c r="J80" s="56"/>
      <c r="K80" s="56"/>
      <c r="L80" s="56"/>
    </row>
    <row r="81" customFormat="false" ht="14.25" hidden="false" customHeight="true" outlineLevel="0" collapsed="false">
      <c r="C81" s="56"/>
      <c r="D81" s="56"/>
      <c r="E81" s="56"/>
      <c r="F81" s="56"/>
      <c r="G81" s="56"/>
      <c r="H81" s="56"/>
      <c r="I81" s="56"/>
      <c r="J81" s="56"/>
      <c r="K81" s="56"/>
      <c r="L81" s="56"/>
    </row>
    <row r="82" customFormat="false" ht="14.25" hidden="false" customHeight="true" outlineLevel="0" collapsed="false">
      <c r="C82" s="56"/>
      <c r="D82" s="56"/>
      <c r="E82" s="56"/>
      <c r="F82" s="56"/>
      <c r="G82" s="56"/>
      <c r="H82" s="56"/>
      <c r="I82" s="56"/>
      <c r="J82" s="56"/>
      <c r="K82" s="56"/>
      <c r="L82" s="56"/>
    </row>
    <row r="83" customFormat="false" ht="14.25" hidden="false" customHeight="true" outlineLevel="0" collapsed="false">
      <c r="C83" s="56"/>
      <c r="D83" s="56"/>
      <c r="E83" s="56"/>
      <c r="F83" s="56"/>
      <c r="G83" s="56"/>
      <c r="H83" s="56"/>
      <c r="I83" s="56"/>
      <c r="J83" s="56"/>
      <c r="K83" s="56"/>
      <c r="L83" s="56"/>
    </row>
    <row r="84" customFormat="false" ht="14.25" hidden="false" customHeight="true" outlineLevel="0" collapsed="false">
      <c r="C84" s="56"/>
      <c r="D84" s="56"/>
      <c r="E84" s="56"/>
      <c r="F84" s="56"/>
      <c r="G84" s="56"/>
      <c r="H84" s="56"/>
      <c r="I84" s="56"/>
      <c r="J84" s="56"/>
      <c r="K84" s="56"/>
      <c r="L84" s="56"/>
    </row>
    <row r="85" customFormat="false" ht="14.25" hidden="false" customHeight="true" outlineLevel="0" collapsed="false">
      <c r="C85" s="56"/>
      <c r="D85" s="56"/>
      <c r="E85" s="56"/>
      <c r="F85" s="56"/>
      <c r="G85" s="56"/>
      <c r="H85" s="56"/>
      <c r="I85" s="56"/>
      <c r="J85" s="56"/>
      <c r="K85" s="56"/>
      <c r="L85" s="56"/>
    </row>
    <row r="86" customFormat="false" ht="14.25" hidden="false" customHeight="true" outlineLevel="0" collapsed="false">
      <c r="C86" s="56"/>
      <c r="D86" s="56"/>
      <c r="E86" s="56"/>
      <c r="F86" s="56"/>
      <c r="G86" s="56"/>
      <c r="H86" s="56"/>
      <c r="I86" s="56"/>
      <c r="J86" s="56"/>
      <c r="K86" s="56"/>
      <c r="L86" s="56"/>
    </row>
    <row r="87" customFormat="false" ht="14.25" hidden="false" customHeight="true" outlineLevel="0" collapsed="false">
      <c r="C87" s="56"/>
      <c r="D87" s="56"/>
      <c r="E87" s="56"/>
      <c r="F87" s="56"/>
      <c r="G87" s="56"/>
      <c r="H87" s="56"/>
      <c r="I87" s="56"/>
      <c r="J87" s="56"/>
      <c r="K87" s="56"/>
      <c r="L87" s="56"/>
    </row>
    <row r="88" customFormat="false" ht="14.25" hidden="false" customHeight="true" outlineLevel="0" collapsed="false">
      <c r="C88" s="56"/>
      <c r="D88" s="56"/>
      <c r="E88" s="56"/>
      <c r="F88" s="56"/>
      <c r="G88" s="56"/>
      <c r="H88" s="56"/>
      <c r="I88" s="56"/>
      <c r="J88" s="56"/>
      <c r="K88" s="56"/>
      <c r="L88" s="56"/>
    </row>
    <row r="89" customFormat="false" ht="14.25" hidden="false" customHeight="true" outlineLevel="0" collapsed="false">
      <c r="C89" s="56"/>
      <c r="D89" s="56"/>
      <c r="E89" s="56"/>
      <c r="F89" s="56"/>
      <c r="G89" s="56"/>
      <c r="H89" s="56"/>
      <c r="I89" s="56"/>
      <c r="J89" s="56"/>
      <c r="K89" s="56"/>
      <c r="L89" s="56"/>
    </row>
    <row r="90" customFormat="false" ht="14.25" hidden="false" customHeight="true" outlineLevel="0" collapsed="false">
      <c r="C90" s="56"/>
      <c r="D90" s="56"/>
      <c r="E90" s="56"/>
      <c r="F90" s="56"/>
      <c r="G90" s="56"/>
      <c r="H90" s="56"/>
      <c r="I90" s="56"/>
      <c r="J90" s="56"/>
      <c r="K90" s="56"/>
      <c r="L90" s="56"/>
    </row>
    <row r="91" customFormat="false" ht="14.25" hidden="false" customHeight="true" outlineLevel="0" collapsed="false">
      <c r="C91" s="56"/>
      <c r="D91" s="56"/>
      <c r="E91" s="56"/>
      <c r="F91" s="56"/>
      <c r="G91" s="56"/>
      <c r="H91" s="56"/>
      <c r="I91" s="56"/>
      <c r="J91" s="56"/>
      <c r="K91" s="56"/>
      <c r="L91" s="56"/>
    </row>
    <row r="92" customFormat="false" ht="14.25" hidden="false" customHeight="true" outlineLevel="0" collapsed="false">
      <c r="C92" s="56"/>
      <c r="D92" s="56"/>
      <c r="E92" s="56"/>
      <c r="F92" s="56"/>
      <c r="G92" s="56"/>
      <c r="H92" s="56"/>
      <c r="I92" s="56"/>
      <c r="J92" s="56"/>
      <c r="K92" s="56"/>
      <c r="L92" s="56"/>
    </row>
    <row r="93" customFormat="false" ht="14.25" hidden="false" customHeight="true" outlineLevel="0" collapsed="false">
      <c r="C93" s="56"/>
      <c r="D93" s="56"/>
      <c r="E93" s="56"/>
      <c r="F93" s="56"/>
      <c r="G93" s="56"/>
      <c r="H93" s="56"/>
      <c r="I93" s="56"/>
      <c r="J93" s="56"/>
      <c r="K93" s="56"/>
      <c r="L93" s="56"/>
    </row>
    <row r="94" customFormat="false" ht="14.25" hidden="false" customHeight="true" outlineLevel="0" collapsed="false">
      <c r="C94" s="56"/>
      <c r="D94" s="56"/>
      <c r="E94" s="56"/>
      <c r="F94" s="56"/>
      <c r="G94" s="56"/>
      <c r="H94" s="56"/>
      <c r="I94" s="56"/>
      <c r="J94" s="56"/>
      <c r="K94" s="56"/>
      <c r="L94" s="56"/>
    </row>
    <row r="95" customFormat="false" ht="14.25" hidden="false" customHeight="true" outlineLevel="0" collapsed="false">
      <c r="C95" s="56"/>
      <c r="D95" s="56"/>
      <c r="E95" s="56"/>
      <c r="F95" s="56"/>
      <c r="G95" s="56"/>
      <c r="H95" s="56"/>
      <c r="I95" s="56"/>
      <c r="J95" s="56"/>
      <c r="K95" s="56"/>
      <c r="L95" s="56"/>
    </row>
    <row r="96" customFormat="false" ht="14.25" hidden="false" customHeight="true" outlineLevel="0" collapsed="false">
      <c r="C96" s="56"/>
      <c r="D96" s="56"/>
      <c r="E96" s="56"/>
      <c r="F96" s="56"/>
      <c r="G96" s="56"/>
      <c r="H96" s="56"/>
      <c r="I96" s="56"/>
      <c r="J96" s="56"/>
      <c r="K96" s="56"/>
      <c r="L96" s="56"/>
    </row>
    <row r="97" customFormat="false" ht="14.25" hidden="false" customHeight="true" outlineLevel="0" collapsed="false">
      <c r="C97" s="56"/>
      <c r="D97" s="56"/>
      <c r="E97" s="56"/>
      <c r="F97" s="56"/>
      <c r="G97" s="56"/>
      <c r="H97" s="56"/>
      <c r="I97" s="56"/>
      <c r="J97" s="56"/>
      <c r="K97" s="56"/>
      <c r="L97" s="56"/>
    </row>
    <row r="98" customFormat="false" ht="14.25" hidden="false" customHeight="true" outlineLevel="0" collapsed="false">
      <c r="C98" s="56"/>
      <c r="D98" s="56"/>
      <c r="E98" s="56"/>
      <c r="F98" s="56"/>
      <c r="G98" s="56"/>
      <c r="H98" s="56"/>
      <c r="I98" s="56"/>
      <c r="J98" s="56"/>
      <c r="K98" s="56"/>
      <c r="L98" s="56"/>
    </row>
    <row r="99" customFormat="false" ht="14.25" hidden="false" customHeight="true" outlineLevel="0" collapsed="false">
      <c r="C99" s="56"/>
      <c r="D99" s="56"/>
      <c r="E99" s="56"/>
      <c r="F99" s="56"/>
      <c r="G99" s="56"/>
      <c r="H99" s="56"/>
      <c r="I99" s="56"/>
      <c r="J99" s="56"/>
      <c r="K99" s="56"/>
      <c r="L99" s="56"/>
    </row>
    <row r="100" customFormat="false" ht="14.25" hidden="false" customHeight="true" outlineLevel="0" collapsed="false">
      <c r="C100" s="56"/>
      <c r="D100" s="56"/>
      <c r="E100" s="56"/>
      <c r="F100" s="56"/>
      <c r="G100" s="56"/>
      <c r="H100" s="56"/>
      <c r="I100" s="56"/>
      <c r="J100" s="56"/>
      <c r="K100" s="56"/>
      <c r="L100" s="56"/>
    </row>
    <row r="101" customFormat="false" ht="14.25" hidden="false" customHeight="true" outlineLevel="0" collapsed="false">
      <c r="C101" s="56"/>
      <c r="D101" s="56"/>
      <c r="E101" s="56"/>
      <c r="F101" s="56"/>
      <c r="G101" s="56"/>
      <c r="H101" s="56"/>
      <c r="I101" s="56"/>
      <c r="J101" s="56"/>
      <c r="K101" s="56"/>
      <c r="L101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6" activeCellId="0" sqref="A6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12" min="3" style="1" width="11"/>
  </cols>
  <sheetData>
    <row r="1" customFormat="false" ht="15.75" hidden="false" customHeight="true" outlineLevel="0" collapsed="false">
      <c r="A1" s="2" t="s">
        <v>202</v>
      </c>
    </row>
    <row r="2" customFormat="false" ht="14.25" hidden="false" customHeight="true" outlineLevel="0" collapsed="false">
      <c r="A2" s="54" t="s">
        <v>203</v>
      </c>
    </row>
    <row r="3" s="60" customFormat="true" ht="14.25" hidden="false" customHeight="true" outlineLevel="0" collapsed="false">
      <c r="A3" s="12" t="s">
        <v>204</v>
      </c>
      <c r="C3" s="12" t="s">
        <v>26</v>
      </c>
      <c r="D3" s="12" t="s">
        <v>27</v>
      </c>
      <c r="E3" s="12" t="s">
        <v>28</v>
      </c>
      <c r="F3" s="12" t="s">
        <v>29</v>
      </c>
      <c r="G3" s="12" t="s">
        <v>30</v>
      </c>
      <c r="H3" s="12" t="s">
        <v>31</v>
      </c>
      <c r="I3" s="12" t="s">
        <v>32</v>
      </c>
      <c r="J3" s="12" t="s">
        <v>33</v>
      </c>
      <c r="K3" s="12" t="s">
        <v>34</v>
      </c>
      <c r="L3" s="12" t="s">
        <v>35</v>
      </c>
    </row>
    <row r="4" customFormat="false" ht="14.25" hidden="false" customHeight="true" outlineLevel="0" collapsed="false">
      <c r="A4" s="24" t="s">
        <v>205</v>
      </c>
      <c r="C4" s="56"/>
      <c r="D4" s="56"/>
      <c r="E4" s="56"/>
      <c r="F4" s="56"/>
      <c r="G4" s="56"/>
      <c r="H4" s="56"/>
      <c r="I4" s="56"/>
      <c r="J4" s="56"/>
      <c r="K4" s="56"/>
      <c r="L4" s="56"/>
    </row>
    <row r="5" customFormat="false" ht="14.25" hidden="false" customHeight="true" outlineLevel="0" collapsed="false">
      <c r="A5" s="13" t="s">
        <v>206</v>
      </c>
      <c r="C5" s="44" t="n">
        <v>5550.67</v>
      </c>
      <c r="D5" s="44" t="n">
        <v>5354.34</v>
      </c>
      <c r="E5" s="44" t="n">
        <v>5159.42</v>
      </c>
      <c r="F5" s="44" t="n">
        <v>5212.58</v>
      </c>
      <c r="G5" s="44" t="n">
        <v>5219.13</v>
      </c>
      <c r="H5" s="44" t="n">
        <f aca="false">Schedules!H63</f>
        <v>5417.32314061917</v>
      </c>
      <c r="I5" s="44" t="n">
        <f aca="false">Schedules!I63</f>
        <v>5576.49594897191</v>
      </c>
      <c r="J5" s="44" t="n">
        <f aca="false">Schedules!J63</f>
        <v>5758.96949089397</v>
      </c>
      <c r="K5" s="44" t="n">
        <f aca="false">Schedules!K63</f>
        <v>5964.20264555124</v>
      </c>
      <c r="L5" s="44" t="n">
        <f aca="false">Schedules!L63</f>
        <v>6175.97019214071</v>
      </c>
    </row>
    <row r="6" customFormat="false" ht="14.25" hidden="false" customHeight="true" outlineLevel="0" collapsed="false">
      <c r="A6" s="13" t="s">
        <v>207</v>
      </c>
      <c r="C6" s="44" t="n">
        <v>236.4</v>
      </c>
      <c r="D6" s="44" t="n">
        <v>149.13</v>
      </c>
      <c r="E6" s="44" t="n">
        <v>122.09</v>
      </c>
      <c r="F6" s="44" t="n">
        <v>127.16</v>
      </c>
      <c r="G6" s="44" t="n">
        <v>105.37</v>
      </c>
      <c r="H6" s="44" t="n">
        <f aca="false">$G$6</f>
        <v>105.37</v>
      </c>
      <c r="I6" s="44" t="n">
        <f aca="false">$G$6</f>
        <v>105.37</v>
      </c>
      <c r="J6" s="44" t="n">
        <f aca="false">$G$6</f>
        <v>105.37</v>
      </c>
      <c r="K6" s="44" t="n">
        <f aca="false">$G$6</f>
        <v>105.37</v>
      </c>
      <c r="L6" s="44" t="n">
        <f aca="false">$G$6</f>
        <v>105.37</v>
      </c>
    </row>
    <row r="7" customFormat="false" ht="14.25" hidden="false" customHeight="true" outlineLevel="0" collapsed="false">
      <c r="A7" s="13" t="s">
        <v>208</v>
      </c>
      <c r="C7" s="44" t="n">
        <v>511.24</v>
      </c>
      <c r="D7" s="44" t="n">
        <v>517.9</v>
      </c>
      <c r="E7" s="44" t="n">
        <v>481.28</v>
      </c>
      <c r="F7" s="44" t="n">
        <v>475.97</v>
      </c>
      <c r="G7" s="44" t="n">
        <v>483.39</v>
      </c>
      <c r="H7" s="44" t="n">
        <f aca="false">Schedules!H69</f>
        <v>495.054517278194</v>
      </c>
      <c r="I7" s="44" t="n">
        <f aca="false">Schedules!I69</f>
        <v>515.806334934737</v>
      </c>
      <c r="J7" s="44" t="n">
        <f aca="false">Schedules!J69</f>
        <v>524.929369157433</v>
      </c>
      <c r="K7" s="44" t="n">
        <f aca="false">Schedules!K69</f>
        <v>540.971508364027</v>
      </c>
      <c r="L7" s="44" t="n">
        <f aca="false">Schedules!L69</f>
        <v>560.774898435916</v>
      </c>
    </row>
    <row r="8" customFormat="false" ht="14.25" hidden="false" customHeight="true" outlineLevel="0" collapsed="false">
      <c r="A8" s="13" t="s">
        <v>209</v>
      </c>
      <c r="C8" s="44" t="n">
        <v>318.48</v>
      </c>
      <c r="D8" s="44" t="n">
        <v>321.3</v>
      </c>
      <c r="E8" s="44" t="n">
        <v>518.5</v>
      </c>
      <c r="F8" s="44" t="n">
        <v>543.65</v>
      </c>
      <c r="G8" s="44" t="n">
        <v>580.46</v>
      </c>
      <c r="H8" s="44" t="n">
        <f aca="false">Schedules!H66</f>
        <v>582.920360060751</v>
      </c>
      <c r="I8" s="44" t="n">
        <f aca="false">Schedules!I66</f>
        <v>588.555203299344</v>
      </c>
      <c r="J8" s="44" t="n">
        <f aca="false">Schedules!J66</f>
        <v>593.502151034314</v>
      </c>
      <c r="K8" s="44" t="n">
        <f aca="false">Schedules!K66</f>
        <v>598.010317335942</v>
      </c>
      <c r="L8" s="44" t="n">
        <f aca="false">Schedules!L66</f>
        <v>603.085712182695</v>
      </c>
    </row>
    <row r="9" customFormat="false" ht="14.25" hidden="false" customHeight="true" outlineLevel="0" collapsed="false">
      <c r="A9" s="13" t="s">
        <v>210</v>
      </c>
      <c r="C9" s="44" t="n">
        <v>258.73</v>
      </c>
      <c r="D9" s="44" t="n">
        <v>368.09</v>
      </c>
      <c r="E9" s="44" t="n">
        <v>331.62</v>
      </c>
      <c r="F9" s="44" t="n">
        <v>356.9</v>
      </c>
      <c r="G9" s="44" t="n">
        <v>381.81</v>
      </c>
      <c r="H9" s="44" t="n">
        <f aca="false">$G$9</f>
        <v>381.81</v>
      </c>
      <c r="I9" s="44" t="n">
        <f aca="false">$G$9</f>
        <v>381.81</v>
      </c>
      <c r="J9" s="44" t="n">
        <f aca="false">$G$9</f>
        <v>381.81</v>
      </c>
      <c r="K9" s="44" t="n">
        <f aca="false">$G$9</f>
        <v>381.81</v>
      </c>
      <c r="L9" s="44" t="n">
        <f aca="false">$G$9</f>
        <v>381.81</v>
      </c>
    </row>
    <row r="10" customFormat="false" ht="14.25" hidden="false" customHeight="true" outlineLevel="0" collapsed="false">
      <c r="A10" s="13" t="s">
        <v>211</v>
      </c>
      <c r="C10" s="44" t="n">
        <v>2407.69</v>
      </c>
      <c r="D10" s="44" t="n">
        <v>2202.51</v>
      </c>
      <c r="E10" s="44" t="n">
        <v>2618.7</v>
      </c>
      <c r="F10" s="44" t="n">
        <v>3083.59</v>
      </c>
      <c r="G10" s="44" t="n">
        <v>2980.94</v>
      </c>
      <c r="H10" s="44" t="n">
        <f aca="false">G10+'P&amp;L'!H21</f>
        <v>2888.18666666667</v>
      </c>
      <c r="I10" s="44" t="n">
        <f aca="false">H10+'P&amp;L'!I21</f>
        <v>2795.43333333333</v>
      </c>
      <c r="J10" s="44" t="n">
        <f aca="false">I10+'P&amp;L'!J21</f>
        <v>2702.68</v>
      </c>
      <c r="K10" s="44" t="n">
        <f aca="false">J10+'P&amp;L'!K21</f>
        <v>2609.92666666667</v>
      </c>
      <c r="L10" s="44" t="n">
        <f aca="false">K10+'P&amp;L'!L21</f>
        <v>2517.17333333333</v>
      </c>
    </row>
    <row r="11" customFormat="false" ht="14.25" hidden="false" customHeight="true" outlineLevel="0" collapsed="false">
      <c r="A11" s="24" t="s">
        <v>212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customFormat="false" ht="14.25" hidden="false" customHeight="true" outlineLevel="0" collapsed="false">
      <c r="A12" s="13" t="s">
        <v>213</v>
      </c>
      <c r="C12" s="44" t="n">
        <v>1948.59</v>
      </c>
      <c r="D12" s="44" t="n">
        <v>2455.05</v>
      </c>
      <c r="E12" s="44" t="n">
        <v>4600.38</v>
      </c>
      <c r="F12" s="44" t="n">
        <v>5362.57</v>
      </c>
      <c r="G12" s="44" t="n">
        <v>4767.33</v>
      </c>
      <c r="H12" s="44" t="n">
        <f aca="false">$G$12</f>
        <v>4767.33</v>
      </c>
      <c r="I12" s="44" t="n">
        <f aca="false">$G$12</f>
        <v>4767.33</v>
      </c>
      <c r="J12" s="44" t="n">
        <f aca="false">$G$12</f>
        <v>4767.33</v>
      </c>
      <c r="K12" s="44" t="n">
        <f aca="false">$G$12</f>
        <v>4767.33</v>
      </c>
      <c r="L12" s="44" t="n">
        <f aca="false">$G$12</f>
        <v>4767.33</v>
      </c>
    </row>
    <row r="13" customFormat="false" ht="14.25" hidden="false" customHeight="true" outlineLevel="0" collapsed="false">
      <c r="A13" s="13" t="s">
        <v>214</v>
      </c>
      <c r="C13" s="44" t="n">
        <v>52.64</v>
      </c>
      <c r="D13" s="44" t="n">
        <v>17.43</v>
      </c>
      <c r="E13" s="44" t="n">
        <v>19.87</v>
      </c>
      <c r="F13" s="44" t="n">
        <v>21.15</v>
      </c>
      <c r="G13" s="44" t="n">
        <v>24.87</v>
      </c>
      <c r="H13" s="44" t="n">
        <f aca="false">$G$13</f>
        <v>24.87</v>
      </c>
      <c r="I13" s="44" t="n">
        <f aca="false">$G$13</f>
        <v>24.87</v>
      </c>
      <c r="J13" s="44" t="n">
        <f aca="false">$G$13</f>
        <v>24.87</v>
      </c>
      <c r="K13" s="44" t="n">
        <f aca="false">$G$13</f>
        <v>24.87</v>
      </c>
      <c r="L13" s="44" t="n">
        <f aca="false">$G$13</f>
        <v>24.87</v>
      </c>
    </row>
    <row r="14" customFormat="false" ht="14.25" hidden="false" customHeight="true" outlineLevel="0" collapsed="false">
      <c r="A14" s="13" t="s">
        <v>215</v>
      </c>
      <c r="C14" s="44" t="n">
        <v>0</v>
      </c>
      <c r="D14" s="44" t="n">
        <v>42.01</v>
      </c>
      <c r="E14" s="44" t="n">
        <v>206.09</v>
      </c>
      <c r="F14" s="44" t="n">
        <v>189.44</v>
      </c>
      <c r="G14" s="44" t="n">
        <v>47.09</v>
      </c>
      <c r="H14" s="44" t="n">
        <f aca="false">$G$14</f>
        <v>47.09</v>
      </c>
      <c r="I14" s="44" t="n">
        <f aca="false">$G$14</f>
        <v>47.09</v>
      </c>
      <c r="J14" s="44" t="n">
        <f aca="false">$G$14</f>
        <v>47.09</v>
      </c>
      <c r="K14" s="44" t="n">
        <f aca="false">$G$14</f>
        <v>47.09</v>
      </c>
      <c r="L14" s="44" t="n">
        <f aca="false">$G$14</f>
        <v>47.09</v>
      </c>
    </row>
    <row r="15" customFormat="false" ht="14.25" hidden="false" customHeight="true" outlineLevel="0" collapsed="false">
      <c r="A15" s="13" t="s">
        <v>216</v>
      </c>
      <c r="C15" s="44" t="n">
        <v>378.49</v>
      </c>
      <c r="D15" s="44" t="n">
        <v>358.07</v>
      </c>
      <c r="E15" s="44" t="n">
        <v>270.69</v>
      </c>
      <c r="F15" s="44" t="n">
        <v>335.68</v>
      </c>
      <c r="G15" s="44" t="n">
        <v>254.49</v>
      </c>
      <c r="H15" s="44" t="n">
        <f aca="false">$G$15</f>
        <v>254.49</v>
      </c>
      <c r="I15" s="44" t="n">
        <f aca="false">$G$15</f>
        <v>254.49</v>
      </c>
      <c r="J15" s="44" t="n">
        <f aca="false">$G$15</f>
        <v>254.49</v>
      </c>
      <c r="K15" s="44" t="n">
        <f aca="false">$G$15</f>
        <v>254.49</v>
      </c>
      <c r="L15" s="44" t="n">
        <f aca="false">$G$15</f>
        <v>254.49</v>
      </c>
    </row>
    <row r="16" customFormat="false" ht="14.25" hidden="false" customHeight="true" outlineLevel="0" collapsed="false">
      <c r="A16" s="13" t="s">
        <v>217</v>
      </c>
      <c r="C16" s="44" t="n">
        <v>62.68</v>
      </c>
      <c r="D16" s="44" t="n">
        <v>120.34</v>
      </c>
      <c r="E16" s="44" t="n">
        <v>153.06</v>
      </c>
      <c r="F16" s="44" t="n">
        <v>128.65</v>
      </c>
      <c r="G16" s="44" t="n">
        <v>111.55</v>
      </c>
      <c r="H16" s="44" t="n">
        <f aca="false">$G$16</f>
        <v>111.55</v>
      </c>
      <c r="I16" s="44" t="n">
        <f aca="false">$G$16</f>
        <v>111.55</v>
      </c>
      <c r="J16" s="44" t="n">
        <f aca="false">$G$16</f>
        <v>111.55</v>
      </c>
      <c r="K16" s="44" t="n">
        <f aca="false">$G$16</f>
        <v>111.55</v>
      </c>
      <c r="L16" s="44" t="n">
        <f aca="false">$G$16</f>
        <v>111.55</v>
      </c>
    </row>
    <row r="17" s="55" customFormat="true" ht="14.25" hidden="false" customHeight="true" outlineLevel="0" collapsed="false">
      <c r="A17" s="61" t="s">
        <v>218</v>
      </c>
      <c r="C17" s="62" t="n">
        <f aca="false">SUM(C5:C16)</f>
        <v>11725.61</v>
      </c>
      <c r="D17" s="62" t="n">
        <f aca="false">SUM(D5:D16)</f>
        <v>11906.17</v>
      </c>
      <c r="E17" s="62" t="n">
        <f aca="false">SUM(E5:E16)</f>
        <v>14481.7</v>
      </c>
      <c r="F17" s="62" t="n">
        <f aca="false">SUM(F5:F16)</f>
        <v>15837.34</v>
      </c>
      <c r="G17" s="62" t="n">
        <f aca="false">SUM(G5:G16)</f>
        <v>14956.43</v>
      </c>
      <c r="H17" s="62" t="n">
        <f aca="false">SUM(H5:H16)</f>
        <v>15075.9946846248</v>
      </c>
      <c r="I17" s="62" t="n">
        <f aca="false">SUM(I5:I16)</f>
        <v>15168.8008205393</v>
      </c>
      <c r="J17" s="62" t="n">
        <f aca="false">SUM(J5:J16)</f>
        <v>15272.5910110857</v>
      </c>
      <c r="K17" s="62" t="n">
        <f aca="false">SUM(K5:K16)</f>
        <v>15405.6211379179</v>
      </c>
      <c r="L17" s="62" t="n">
        <f aca="false">SUM(L5:L16)</f>
        <v>15549.5141360927</v>
      </c>
    </row>
    <row r="18" customFormat="false" ht="14.25" hidden="false" customHeight="true" outlineLevel="0" collapsed="false">
      <c r="A18" s="24" t="s">
        <v>219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</row>
    <row r="19" customFormat="false" ht="14.25" hidden="false" customHeight="true" outlineLevel="0" collapsed="false">
      <c r="A19" s="13" t="s">
        <v>220</v>
      </c>
      <c r="C19" s="44" t="n">
        <v>1789.27</v>
      </c>
      <c r="D19" s="44" t="n">
        <v>1472.41</v>
      </c>
      <c r="E19" s="44" t="n">
        <v>1756.39</v>
      </c>
      <c r="F19" s="44" t="n">
        <v>1755.9</v>
      </c>
      <c r="G19" s="44" t="n">
        <v>2013.34</v>
      </c>
      <c r="H19" s="44" t="n">
        <f aca="false">Schedules!H4</f>
        <v>2474.31044058886</v>
      </c>
      <c r="I19" s="44" t="n">
        <f aca="false">Schedules!I4</f>
        <v>3008.4704004101</v>
      </c>
      <c r="J19" s="44" t="n">
        <f aca="false">Schedules!J4</f>
        <v>3638.70637916268</v>
      </c>
      <c r="K19" s="44" t="n">
        <f aca="false">Schedules!K4</f>
        <v>4463.75238738182</v>
      </c>
      <c r="L19" s="44" t="n">
        <f aca="false">Schedules!L4</f>
        <v>5466.57986547905</v>
      </c>
    </row>
    <row r="20" customFormat="false" ht="14.25" hidden="false" customHeight="true" outlineLevel="0" collapsed="false">
      <c r="A20" s="24" t="s">
        <v>212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customFormat="false" ht="14.25" hidden="false" customHeight="true" outlineLevel="0" collapsed="false">
      <c r="A21" s="13" t="s">
        <v>213</v>
      </c>
      <c r="C21" s="44" t="n">
        <v>6225.34</v>
      </c>
      <c r="D21" s="44" t="n">
        <v>5870.31</v>
      </c>
      <c r="E21" s="44" t="n">
        <v>3671.85</v>
      </c>
      <c r="F21" s="44" t="n">
        <v>4305.08</v>
      </c>
      <c r="G21" s="44" t="n">
        <v>6635.99</v>
      </c>
      <c r="H21" s="44" t="n">
        <f aca="false">Schedules!H5</f>
        <v>6635.99</v>
      </c>
      <c r="I21" s="44" t="n">
        <f aca="false">Schedules!I5</f>
        <v>6635.99</v>
      </c>
      <c r="J21" s="44" t="n">
        <f aca="false">Schedules!J5</f>
        <v>6635.99</v>
      </c>
      <c r="K21" s="44" t="n">
        <f aca="false">Schedules!K5</f>
        <v>6635.99</v>
      </c>
      <c r="L21" s="44" t="n">
        <f aca="false">Schedules!L5</f>
        <v>6635.99</v>
      </c>
    </row>
    <row r="22" customFormat="false" ht="14.25" hidden="false" customHeight="true" outlineLevel="0" collapsed="false">
      <c r="A22" s="13" t="s">
        <v>221</v>
      </c>
      <c r="C22" s="44" t="n">
        <v>2274.68</v>
      </c>
      <c r="D22" s="44" t="n">
        <v>2158.49</v>
      </c>
      <c r="E22" s="44" t="n">
        <v>2719.47</v>
      </c>
      <c r="F22" s="44" t="n">
        <v>2630.22</v>
      </c>
      <c r="G22" s="44" t="n">
        <v>3381.29</v>
      </c>
      <c r="H22" s="44" t="n">
        <f aca="false">Schedules!H6</f>
        <v>3900.16698441999</v>
      </c>
      <c r="I22" s="44" t="n">
        <f aca="false">Schedules!I6</f>
        <v>4742.14420988007</v>
      </c>
      <c r="J22" s="44" t="n">
        <f aca="false">Schedules!J6</f>
        <v>5735.56262512931</v>
      </c>
      <c r="K22" s="44" t="n">
        <f aca="false">Schedules!K6</f>
        <v>7036.05311698447</v>
      </c>
      <c r="L22" s="44" t="n">
        <f aca="false">Schedules!L6</f>
        <v>8616.77417647011</v>
      </c>
    </row>
    <row r="23" customFormat="false" ht="14.25" hidden="false" customHeight="true" outlineLevel="0" collapsed="false">
      <c r="A23" s="13" t="s">
        <v>222</v>
      </c>
      <c r="C23" s="44" t="n">
        <v>274.62</v>
      </c>
      <c r="D23" s="44" t="n">
        <v>181.02</v>
      </c>
      <c r="E23" s="44" t="n">
        <v>226.3</v>
      </c>
      <c r="F23" s="44" t="n">
        <v>604.91</v>
      </c>
      <c r="G23" s="44" t="n">
        <v>383.55</v>
      </c>
      <c r="H23" s="44" t="n">
        <f aca="false">CFS!H20</f>
        <v>5896.16535950569</v>
      </c>
      <c r="I23" s="44" t="n">
        <f aca="false">CFS!I20</f>
        <v>12371.1210492655</v>
      </c>
      <c r="J23" s="44" t="n">
        <f aca="false">CFS!J20</f>
        <v>20306.6248786894</v>
      </c>
      <c r="K23" s="44" t="n">
        <f aca="false">CFS!K20</f>
        <v>30203.2187224651</v>
      </c>
      <c r="L23" s="44" t="n">
        <f aca="false">CFS!L20</f>
        <v>42476.5315677451</v>
      </c>
    </row>
    <row r="24" customFormat="false" ht="14.25" hidden="false" customHeight="true" outlineLevel="0" collapsed="false">
      <c r="A24" s="13" t="s">
        <v>223</v>
      </c>
      <c r="C24" s="44" t="n">
        <v>121.62</v>
      </c>
      <c r="D24" s="44" t="n">
        <v>118.72</v>
      </c>
      <c r="E24" s="44" t="n">
        <v>196.5</v>
      </c>
      <c r="F24" s="44" t="n">
        <v>91.56</v>
      </c>
      <c r="G24" s="44" t="n">
        <v>190.53</v>
      </c>
      <c r="H24" s="44" t="n">
        <f aca="false">Schedules!H7</f>
        <v>190.53</v>
      </c>
      <c r="I24" s="44" t="n">
        <f aca="false">Schedules!I7</f>
        <v>190.53</v>
      </c>
      <c r="J24" s="44" t="n">
        <f aca="false">Schedules!J7</f>
        <v>190.53</v>
      </c>
      <c r="K24" s="44" t="n">
        <f aca="false">Schedules!K7</f>
        <v>190.53</v>
      </c>
      <c r="L24" s="44" t="n">
        <f aca="false">Schedules!L7</f>
        <v>190.53</v>
      </c>
    </row>
    <row r="25" customFormat="false" ht="14.25" hidden="false" customHeight="true" outlineLevel="0" collapsed="false">
      <c r="A25" s="13" t="s">
        <v>224</v>
      </c>
      <c r="C25" s="44" t="n">
        <v>39.77</v>
      </c>
      <c r="D25" s="44" t="n">
        <v>22.81</v>
      </c>
      <c r="E25" s="44" t="n">
        <v>23.71</v>
      </c>
      <c r="F25" s="44" t="n">
        <v>24.56</v>
      </c>
      <c r="G25" s="44" t="n">
        <v>27.07</v>
      </c>
      <c r="H25" s="44" t="n">
        <f aca="false">Schedules!H8</f>
        <v>27.07</v>
      </c>
      <c r="I25" s="44" t="n">
        <f aca="false">Schedules!I8</f>
        <v>27.07</v>
      </c>
      <c r="J25" s="44" t="n">
        <f aca="false">Schedules!J8</f>
        <v>27.07</v>
      </c>
      <c r="K25" s="44" t="n">
        <f aca="false">Schedules!K8</f>
        <v>27.07</v>
      </c>
      <c r="L25" s="44" t="n">
        <f aca="false">Schedules!L8</f>
        <v>27.07</v>
      </c>
    </row>
    <row r="26" customFormat="false" ht="14.25" hidden="false" customHeight="true" outlineLevel="0" collapsed="false">
      <c r="A26" s="13" t="s">
        <v>225</v>
      </c>
      <c r="C26" s="44" t="n">
        <v>365.73</v>
      </c>
      <c r="D26" s="44" t="n">
        <v>475</v>
      </c>
      <c r="E26" s="44" t="n">
        <v>571.65</v>
      </c>
      <c r="F26" s="44" t="n">
        <v>423.53</v>
      </c>
      <c r="G26" s="44" t="n">
        <v>141.59</v>
      </c>
      <c r="H26" s="44" t="n">
        <f aca="false">Schedules!H9</f>
        <v>141.59</v>
      </c>
      <c r="I26" s="44" t="n">
        <f aca="false">Schedules!I9</f>
        <v>141.59</v>
      </c>
      <c r="J26" s="44" t="n">
        <f aca="false">Schedules!J9</f>
        <v>141.59</v>
      </c>
      <c r="K26" s="44" t="n">
        <f aca="false">Schedules!K9</f>
        <v>141.59</v>
      </c>
      <c r="L26" s="44" t="n">
        <f aca="false">Schedules!L9</f>
        <v>141.59</v>
      </c>
    </row>
    <row r="27" customFormat="false" ht="14.25" hidden="false" customHeight="true" outlineLevel="0" collapsed="false">
      <c r="A27" s="13" t="s">
        <v>226</v>
      </c>
      <c r="C27" s="44" t="n">
        <v>279.45</v>
      </c>
      <c r="D27" s="44" t="n">
        <v>273.46</v>
      </c>
      <c r="E27" s="44" t="n">
        <v>269.46</v>
      </c>
      <c r="F27" s="44" t="n">
        <v>479.69</v>
      </c>
      <c r="G27" s="44" t="n">
        <v>462.41</v>
      </c>
      <c r="H27" s="44" t="n">
        <f aca="false">Schedules!H10</f>
        <v>536.335580116295</v>
      </c>
      <c r="I27" s="44" t="n">
        <f aca="false">Schedules!I10</f>
        <v>652.120967117872</v>
      </c>
      <c r="J27" s="44" t="n">
        <f aca="false">Schedules!J10</f>
        <v>788.731949203846</v>
      </c>
      <c r="K27" s="44" t="n">
        <f aca="false">Schedules!K10</f>
        <v>967.570272068269</v>
      </c>
      <c r="L27" s="44" t="n">
        <f aca="false">Schedules!L10</f>
        <v>1184.94479726885</v>
      </c>
    </row>
    <row r="28" customFormat="false" ht="14.25" hidden="false" customHeight="true" outlineLevel="0" collapsed="false">
      <c r="A28" s="13" t="s">
        <v>227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198.12</v>
      </c>
      <c r="H28" s="44" t="n">
        <f aca="false">Schedules!H11</f>
        <v>198.12</v>
      </c>
      <c r="I28" s="44" t="n">
        <f aca="false">Schedules!I11</f>
        <v>198.12</v>
      </c>
      <c r="J28" s="44" t="n">
        <f aca="false">Schedules!J11</f>
        <v>198.12</v>
      </c>
      <c r="K28" s="44" t="n">
        <f aca="false">Schedules!K11</f>
        <v>198.12</v>
      </c>
      <c r="L28" s="44" t="n">
        <f aca="false">Schedules!L11</f>
        <v>198.12</v>
      </c>
    </row>
    <row r="29" s="55" customFormat="true" ht="14.25" hidden="false" customHeight="true" outlineLevel="0" collapsed="false">
      <c r="A29" s="61" t="s">
        <v>228</v>
      </c>
      <c r="C29" s="62" t="n">
        <f aca="false">SUM(C19:C28)</f>
        <v>11370.48</v>
      </c>
      <c r="D29" s="62" t="n">
        <f aca="false">SUM(D19:D28)</f>
        <v>10572.22</v>
      </c>
      <c r="E29" s="62" t="n">
        <f aca="false">SUM(E19:E28)</f>
        <v>9435.33</v>
      </c>
      <c r="F29" s="62" t="n">
        <f aca="false">SUM(F19:F28)</f>
        <v>10315.45</v>
      </c>
      <c r="G29" s="62" t="n">
        <f aca="false">SUM(G19:G28)</f>
        <v>13433.89</v>
      </c>
      <c r="H29" s="62" t="n">
        <f aca="false">SUM(H19:H28)</f>
        <v>20000.2783646308</v>
      </c>
      <c r="I29" s="62" t="n">
        <f aca="false">SUM(I19:I28)</f>
        <v>27967.1566266735</v>
      </c>
      <c r="J29" s="62" t="n">
        <f aca="false">SUM(J19:J28)</f>
        <v>37662.9258321852</v>
      </c>
      <c r="K29" s="62" t="n">
        <f aca="false">SUM(K19:K28)</f>
        <v>49863.8944988997</v>
      </c>
      <c r="L29" s="62" t="n">
        <f aca="false">SUM(L19:L28)</f>
        <v>64938.1304069631</v>
      </c>
    </row>
    <row r="30" customFormat="false" ht="14.25" hidden="false" customHeight="true" outlineLevel="0" collapsed="false">
      <c r="A30" s="38" t="s">
        <v>229</v>
      </c>
      <c r="C30" s="48" t="n">
        <f aca="false">C17+C29</f>
        <v>23096.09</v>
      </c>
      <c r="D30" s="48" t="n">
        <f aca="false">D17+D29</f>
        <v>22478.39</v>
      </c>
      <c r="E30" s="48" t="n">
        <f aca="false">E17+E29</f>
        <v>23917.03</v>
      </c>
      <c r="F30" s="48" t="n">
        <f aca="false">F17+F29</f>
        <v>26152.79</v>
      </c>
      <c r="G30" s="48" t="n">
        <f aca="false">G17+G29</f>
        <v>28390.32</v>
      </c>
      <c r="H30" s="48" t="n">
        <f aca="false">H17+H29</f>
        <v>35076.2730492556</v>
      </c>
      <c r="I30" s="48" t="n">
        <f aca="false">I17+I29</f>
        <v>43135.9574472129</v>
      </c>
      <c r="J30" s="48" t="n">
        <f aca="false">J17+J29</f>
        <v>52935.5168432709</v>
      </c>
      <c r="K30" s="48" t="n">
        <f aca="false">K17+K29</f>
        <v>65269.5156368175</v>
      </c>
      <c r="L30" s="48" t="n">
        <f aca="false">L17+L29</f>
        <v>80487.6445430557</v>
      </c>
    </row>
    <row r="31" s="46" customFormat="true" ht="14.25" hidden="false" customHeight="true" outlineLevel="0" collapsed="false">
      <c r="A31" s="63" t="s">
        <v>230</v>
      </c>
      <c r="C31" s="64" t="s">
        <v>26</v>
      </c>
      <c r="D31" s="64" t="s">
        <v>27</v>
      </c>
      <c r="E31" s="64" t="s">
        <v>28</v>
      </c>
      <c r="F31" s="64" t="s">
        <v>29</v>
      </c>
      <c r="G31" s="64" t="s">
        <v>30</v>
      </c>
      <c r="H31" s="64" t="s">
        <v>31</v>
      </c>
      <c r="I31" s="64" t="s">
        <v>32</v>
      </c>
      <c r="J31" s="64" t="s">
        <v>33</v>
      </c>
      <c r="K31" s="64" t="s">
        <v>34</v>
      </c>
      <c r="L31" s="64" t="s">
        <v>35</v>
      </c>
    </row>
    <row r="32" customFormat="false" ht="14.25" hidden="false" customHeight="true" outlineLevel="0" collapsed="false">
      <c r="A32" s="24" t="s">
        <v>231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</row>
    <row r="33" customFormat="false" ht="14.25" hidden="false" customHeight="true" outlineLevel="0" collapsed="false">
      <c r="A33" s="13" t="s">
        <v>232</v>
      </c>
      <c r="C33" s="44" t="n">
        <v>39.96</v>
      </c>
      <c r="D33" s="44" t="n">
        <v>39.96</v>
      </c>
      <c r="E33" s="44" t="n">
        <v>39.97</v>
      </c>
      <c r="F33" s="44" t="n">
        <v>39.98</v>
      </c>
      <c r="G33" s="44" t="n">
        <v>40</v>
      </c>
      <c r="H33" s="44" t="n">
        <f aca="false">G33</f>
        <v>40</v>
      </c>
      <c r="I33" s="44" t="n">
        <f aca="false">H33</f>
        <v>40</v>
      </c>
      <c r="J33" s="44" t="n">
        <f aca="false">I33</f>
        <v>40</v>
      </c>
      <c r="K33" s="44" t="n">
        <f aca="false">J33</f>
        <v>40</v>
      </c>
      <c r="L33" s="44" t="n">
        <f aca="false">K33</f>
        <v>40</v>
      </c>
    </row>
    <row r="34" customFormat="false" ht="14.25" hidden="false" customHeight="true" outlineLevel="0" collapsed="false">
      <c r="A34" s="13" t="s">
        <v>233</v>
      </c>
      <c r="C34" s="44" t="n">
        <v>15376.46</v>
      </c>
      <c r="D34" s="44" t="n">
        <v>15806.69</v>
      </c>
      <c r="E34" s="44" t="n">
        <v>16615.6</v>
      </c>
      <c r="F34" s="44" t="n">
        <v>17658.94</v>
      </c>
      <c r="G34" s="44" t="n">
        <v>19232.04</v>
      </c>
      <c r="H34" s="44" t="n">
        <f aca="false">G34-11.6+'P&amp;L'!H31</f>
        <v>24271.0754843017</v>
      </c>
      <c r="I34" s="44" t="n">
        <f aca="false">H34+'P&amp;L'!I31</f>
        <v>30524.9506379424</v>
      </c>
      <c r="J34" s="44" t="n">
        <f aca="false">I34+'P&amp;L'!J31</f>
        <v>38195.3179656354</v>
      </c>
      <c r="K34" s="44" t="n">
        <f aca="false">J34+'P&amp;L'!K31</f>
        <v>47744.945811266</v>
      </c>
      <c r="L34" s="44" t="n">
        <f aca="false">K34+'P&amp;L'!L31</f>
        <v>59580.7160928617</v>
      </c>
      <c r="M34" s="1" t="s">
        <v>234</v>
      </c>
    </row>
    <row r="35" customFormat="false" ht="14.25" hidden="false" customHeight="true" outlineLevel="0" collapsed="false">
      <c r="A35" s="38" t="s">
        <v>235</v>
      </c>
      <c r="C35" s="48" t="n">
        <f aca="false">C33+C34</f>
        <v>15416.42</v>
      </c>
      <c r="D35" s="48" t="n">
        <f aca="false">D33+D34</f>
        <v>15846.65</v>
      </c>
      <c r="E35" s="48" t="n">
        <f aca="false">E33+E34</f>
        <v>16655.57</v>
      </c>
      <c r="F35" s="48" t="n">
        <f aca="false">F33+F34</f>
        <v>17698.92</v>
      </c>
      <c r="G35" s="48" t="n">
        <f aca="false">G33+G34</f>
        <v>19272.04</v>
      </c>
      <c r="H35" s="48" t="n">
        <f aca="false">H33+H34</f>
        <v>24311.0754843017</v>
      </c>
      <c r="I35" s="48" t="n">
        <f aca="false">I33+I34</f>
        <v>30564.9506379424</v>
      </c>
      <c r="J35" s="48" t="n">
        <f aca="false">J33+J34</f>
        <v>38235.3179656354</v>
      </c>
      <c r="K35" s="48" t="n">
        <f aca="false">K33+K34</f>
        <v>47784.945811266</v>
      </c>
      <c r="L35" s="48" t="n">
        <f aca="false">L33+L34</f>
        <v>59620.7160928617</v>
      </c>
    </row>
    <row r="36" customFormat="false" ht="14.25" hidden="false" customHeight="true" outlineLevel="0" collapsed="false">
      <c r="A36" s="13" t="s">
        <v>236</v>
      </c>
      <c r="C36" s="44" t="n">
        <v>143.19</v>
      </c>
      <c r="D36" s="44" t="n">
        <v>148.05</v>
      </c>
      <c r="E36" s="44" t="n">
        <v>125.06</v>
      </c>
      <c r="F36" s="44" t="n">
        <v>135.65</v>
      </c>
      <c r="G36" s="44" t="n">
        <v>132.05</v>
      </c>
      <c r="H36" s="44" t="n">
        <f aca="false">G36</f>
        <v>132.05</v>
      </c>
      <c r="I36" s="44" t="n">
        <f aca="false">H36</f>
        <v>132.05</v>
      </c>
      <c r="J36" s="44" t="n">
        <f aca="false">I36</f>
        <v>132.05</v>
      </c>
      <c r="K36" s="44" t="n">
        <f aca="false">J36</f>
        <v>132.05</v>
      </c>
      <c r="L36" s="44" t="n">
        <f aca="false">K36</f>
        <v>132.05</v>
      </c>
    </row>
    <row r="37" customFormat="false" ht="14.25" hidden="false" customHeight="true" outlineLevel="0" collapsed="false">
      <c r="A37" s="38" t="s">
        <v>237</v>
      </c>
      <c r="C37" s="48" t="n">
        <f aca="false">C35+C36</f>
        <v>15559.61</v>
      </c>
      <c r="D37" s="48" t="n">
        <f aca="false">D35+D36</f>
        <v>15994.7</v>
      </c>
      <c r="E37" s="48" t="n">
        <f aca="false">E35+E36</f>
        <v>16780.63</v>
      </c>
      <c r="F37" s="48" t="n">
        <f aca="false">F35+F36</f>
        <v>17834.57</v>
      </c>
      <c r="G37" s="48" t="n">
        <f aca="false">G35+G36</f>
        <v>19404.09</v>
      </c>
      <c r="H37" s="48" t="n">
        <f aca="false">H35+H36</f>
        <v>24443.1254843017</v>
      </c>
      <c r="I37" s="48" t="n">
        <f aca="false">I35+I36</f>
        <v>30697.0006379424</v>
      </c>
      <c r="J37" s="48" t="n">
        <f aca="false">J35+J36</f>
        <v>38367.3679656354</v>
      </c>
      <c r="K37" s="48" t="n">
        <f aca="false">K35+K36</f>
        <v>47916.995811266</v>
      </c>
      <c r="L37" s="48" t="n">
        <f aca="false">L35+L36</f>
        <v>59752.7660928617</v>
      </c>
    </row>
    <row r="38" customFormat="false" ht="14.25" hidden="false" customHeight="true" outlineLevel="0" collapsed="false">
      <c r="A38" s="24" t="s">
        <v>238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</row>
    <row r="39" customFormat="false" ht="14.25" hidden="false" customHeight="true" outlineLevel="0" collapsed="false">
      <c r="A39" s="24" t="s">
        <v>239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</row>
    <row r="40" customFormat="false" ht="14.25" hidden="false" customHeight="true" outlineLevel="0" collapsed="false">
      <c r="A40" s="13" t="s">
        <v>240</v>
      </c>
      <c r="C40" s="44" t="n">
        <v>45.18</v>
      </c>
      <c r="D40" s="44" t="n">
        <v>36.17</v>
      </c>
      <c r="E40" s="44" t="n">
        <v>20.09</v>
      </c>
      <c r="F40" s="44" t="n">
        <v>20.9</v>
      </c>
      <c r="G40" s="44" t="n">
        <v>11.6</v>
      </c>
      <c r="H40" s="44" t="n">
        <f aca="false">Schedules!H42</f>
        <v>12.18</v>
      </c>
      <c r="I40" s="44" t="n">
        <f aca="false">Schedules!I42</f>
        <v>12.789</v>
      </c>
      <c r="J40" s="44" t="n">
        <f aca="false">Schedules!J42</f>
        <v>13.42845</v>
      </c>
      <c r="K40" s="44" t="n">
        <f aca="false">Schedules!K42</f>
        <v>14.0998725</v>
      </c>
      <c r="L40" s="44" t="n">
        <f aca="false">Schedules!L42</f>
        <v>14.804866125</v>
      </c>
    </row>
    <row r="41" customFormat="false" ht="14.25" hidden="false" customHeight="true" outlineLevel="0" collapsed="false">
      <c r="A41" s="13" t="s">
        <v>241</v>
      </c>
      <c r="C41" s="44" t="n">
        <v>212.42</v>
      </c>
      <c r="D41" s="44" t="n">
        <v>215.51</v>
      </c>
      <c r="E41" s="44" t="n">
        <v>219.67</v>
      </c>
      <c r="F41" s="44" t="n">
        <v>199.13</v>
      </c>
      <c r="G41" s="44" t="n">
        <v>196.21</v>
      </c>
      <c r="H41" s="44" t="n">
        <f aca="false">Schedules!H45</f>
        <v>206.0205</v>
      </c>
      <c r="I41" s="44" t="n">
        <f aca="false">Schedules!I45</f>
        <v>216.321525</v>
      </c>
      <c r="J41" s="44" t="n">
        <f aca="false">Schedules!J45</f>
        <v>227.13760125</v>
      </c>
      <c r="K41" s="44" t="n">
        <f aca="false">Schedules!K45</f>
        <v>238.4944813125</v>
      </c>
      <c r="L41" s="44" t="n">
        <f aca="false">Schedules!L45</f>
        <v>250.419205378125</v>
      </c>
    </row>
    <row r="42" customFormat="false" ht="14.25" hidden="false" customHeight="true" outlineLevel="0" collapsed="false">
      <c r="A42" s="13" t="s">
        <v>242</v>
      </c>
      <c r="C42" s="44" t="n">
        <v>146.04</v>
      </c>
      <c r="D42" s="44" t="n">
        <v>155.04</v>
      </c>
      <c r="E42" s="44" t="n">
        <v>196.29</v>
      </c>
      <c r="F42" s="44" t="n">
        <v>178.13</v>
      </c>
      <c r="G42" s="44" t="n">
        <v>143.83</v>
      </c>
      <c r="H42" s="44" t="n">
        <f aca="false">$G$42</f>
        <v>143.83</v>
      </c>
      <c r="I42" s="44" t="n">
        <f aca="false">$G$42</f>
        <v>143.83</v>
      </c>
      <c r="J42" s="44" t="n">
        <f aca="false">$G$42</f>
        <v>143.83</v>
      </c>
      <c r="K42" s="44" t="n">
        <f aca="false">$G$42</f>
        <v>143.83</v>
      </c>
      <c r="L42" s="44" t="n">
        <f aca="false">$G$42</f>
        <v>143.83</v>
      </c>
    </row>
    <row r="43" customFormat="false" ht="14.25" hidden="false" customHeight="true" outlineLevel="0" collapsed="false">
      <c r="A43" s="13" t="s">
        <v>243</v>
      </c>
      <c r="C43" s="44" t="n">
        <v>175.57</v>
      </c>
      <c r="D43" s="44" t="n">
        <v>181.13</v>
      </c>
      <c r="E43" s="44" t="n">
        <v>201.94</v>
      </c>
      <c r="F43" s="44" t="n">
        <v>322.46</v>
      </c>
      <c r="G43" s="44" t="n">
        <v>495.29</v>
      </c>
      <c r="H43" s="44" t="n">
        <f aca="false">$G$43</f>
        <v>495.29</v>
      </c>
      <c r="I43" s="44" t="n">
        <f aca="false">$G$43</f>
        <v>495.29</v>
      </c>
      <c r="J43" s="44" t="n">
        <f aca="false">$G$43</f>
        <v>495.29</v>
      </c>
      <c r="K43" s="44" t="n">
        <f aca="false">$G$43</f>
        <v>495.29</v>
      </c>
      <c r="L43" s="44" t="n">
        <f aca="false">$G$43</f>
        <v>495.29</v>
      </c>
    </row>
    <row r="44" customFormat="false" ht="14.25" hidden="false" customHeight="true" outlineLevel="0" collapsed="false">
      <c r="A44" s="13" t="s">
        <v>244</v>
      </c>
      <c r="C44" s="44" t="n">
        <v>452.74</v>
      </c>
      <c r="D44" s="44" t="n">
        <v>378.21</v>
      </c>
      <c r="E44" s="44" t="n">
        <v>485.79</v>
      </c>
      <c r="F44" s="44" t="n">
        <v>570.13</v>
      </c>
      <c r="G44" s="44" t="n">
        <v>674.92</v>
      </c>
      <c r="H44" s="44" t="n">
        <f aca="false">$G$44</f>
        <v>674.92</v>
      </c>
      <c r="I44" s="44" t="n">
        <f aca="false">$G$44</f>
        <v>674.92</v>
      </c>
      <c r="J44" s="44" t="n">
        <f aca="false">$G$44</f>
        <v>674.92</v>
      </c>
      <c r="K44" s="44" t="n">
        <f aca="false">$G$44</f>
        <v>674.92</v>
      </c>
      <c r="L44" s="44" t="n">
        <f aca="false">$G$44</f>
        <v>674.92</v>
      </c>
    </row>
    <row r="45" customFormat="false" ht="14.25" hidden="false" customHeight="true" outlineLevel="0" collapsed="false">
      <c r="A45" s="38" t="s">
        <v>245</v>
      </c>
      <c r="C45" s="48" t="n">
        <f aca="false">SUM(C40:C44)</f>
        <v>1031.95</v>
      </c>
      <c r="D45" s="48" t="n">
        <f aca="false">SUM(D40:D44)</f>
        <v>966.06</v>
      </c>
      <c r="E45" s="48" t="n">
        <f aca="false">SUM(E40:E44)</f>
        <v>1123.78</v>
      </c>
      <c r="F45" s="48" t="n">
        <f aca="false">SUM(F40:F44)</f>
        <v>1290.75</v>
      </c>
      <c r="G45" s="48" t="n">
        <f aca="false">SUM(G40:G44)</f>
        <v>1521.85</v>
      </c>
      <c r="H45" s="48" t="n">
        <f aca="false">SUM(H40:H44)</f>
        <v>1532.2405</v>
      </c>
      <c r="I45" s="48" t="n">
        <f aca="false">SUM(I40:I44)</f>
        <v>1543.150525</v>
      </c>
      <c r="J45" s="48" t="n">
        <f aca="false">SUM(J40:J44)</f>
        <v>1554.60605125</v>
      </c>
      <c r="K45" s="48" t="n">
        <f aca="false">SUM(K40:K44)</f>
        <v>1566.6343538125</v>
      </c>
      <c r="L45" s="48" t="n">
        <f aca="false">SUM(L40:L44)</f>
        <v>1579.26407150313</v>
      </c>
    </row>
    <row r="46" customFormat="false" ht="14.25" hidden="false" customHeight="true" outlineLevel="0" collapsed="false">
      <c r="A46" s="24" t="s">
        <v>88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</row>
    <row r="47" customFormat="false" ht="14.25" hidden="false" customHeight="true" outlineLevel="0" collapsed="false">
      <c r="A47" s="24" t="s">
        <v>239</v>
      </c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customFormat="false" ht="14.25" hidden="false" customHeight="true" outlineLevel="0" collapsed="false">
      <c r="A48" s="13" t="s">
        <v>240</v>
      </c>
      <c r="C48" s="44" t="n">
        <v>285.16</v>
      </c>
      <c r="D48" s="44" t="n">
        <v>317.31</v>
      </c>
      <c r="E48" s="44" t="n">
        <v>293.15</v>
      </c>
      <c r="F48" s="44" t="n">
        <v>363.43</v>
      </c>
      <c r="G48" s="44" t="n">
        <v>456.76</v>
      </c>
      <c r="H48" s="44" t="n">
        <f aca="false">Schedules!H14</f>
        <v>456.76</v>
      </c>
      <c r="I48" s="44" t="n">
        <f aca="false">Schedules!I14</f>
        <v>456.76</v>
      </c>
      <c r="J48" s="44" t="n">
        <f aca="false">Schedules!J14</f>
        <v>456.76</v>
      </c>
      <c r="K48" s="44" t="n">
        <f aca="false">Schedules!K14</f>
        <v>456.76</v>
      </c>
      <c r="L48" s="44" t="n">
        <f aca="false">Schedules!L14</f>
        <v>456.76</v>
      </c>
    </row>
    <row r="49" customFormat="false" ht="14.25" hidden="false" customHeight="true" outlineLevel="0" collapsed="false">
      <c r="A49" s="13" t="s">
        <v>241</v>
      </c>
      <c r="C49" s="44" t="n">
        <v>29.57</v>
      </c>
      <c r="D49" s="44" t="n">
        <v>36.18</v>
      </c>
      <c r="E49" s="44" t="n">
        <v>34.63</v>
      </c>
      <c r="F49" s="44" t="n">
        <v>43.85</v>
      </c>
      <c r="G49" s="44" t="n">
        <v>46.96</v>
      </c>
      <c r="H49" s="44" t="n">
        <f aca="false">Schedules!H15</f>
        <v>46.96</v>
      </c>
      <c r="I49" s="44" t="n">
        <f aca="false">Schedules!I15</f>
        <v>46.96</v>
      </c>
      <c r="J49" s="44" t="n">
        <f aca="false">Schedules!J15</f>
        <v>46.96</v>
      </c>
      <c r="K49" s="44" t="n">
        <f aca="false">Schedules!K15</f>
        <v>46.96</v>
      </c>
      <c r="L49" s="44" t="n">
        <f aca="false">Schedules!L15</f>
        <v>46.96</v>
      </c>
    </row>
    <row r="50" customFormat="false" ht="14.25" hidden="false" customHeight="true" outlineLevel="0" collapsed="false">
      <c r="A50" s="13" t="s">
        <v>246</v>
      </c>
      <c r="C50" s="44" t="n">
        <v>5264.18</v>
      </c>
      <c r="D50" s="44" t="n">
        <v>4343.09</v>
      </c>
      <c r="E50" s="44" t="n">
        <v>4760.14</v>
      </c>
      <c r="F50" s="44" t="n">
        <v>5622.9</v>
      </c>
      <c r="G50" s="44" t="n">
        <v>5699.66</v>
      </c>
      <c r="H50" s="44" t="n">
        <f aca="false">Schedules!H16</f>
        <v>7195.91302718963</v>
      </c>
      <c r="I50" s="44" t="n">
        <f aca="false">Schedules!I16</f>
        <v>8749.3836630594</v>
      </c>
      <c r="J50" s="44" t="n">
        <f aca="false">Schedules!J16</f>
        <v>10582.2673688849</v>
      </c>
      <c r="K50" s="44" t="n">
        <f aca="false">Schedules!K16</f>
        <v>12981.7073183692</v>
      </c>
      <c r="L50" s="44" t="n">
        <f aca="false">Schedules!L16</f>
        <v>15898.1802052338</v>
      </c>
    </row>
    <row r="51" customFormat="false" ht="14.25" hidden="false" customHeight="true" outlineLevel="0" collapsed="false">
      <c r="A51" s="13" t="s">
        <v>247</v>
      </c>
      <c r="C51" s="44" t="n">
        <v>179.21</v>
      </c>
      <c r="D51" s="44" t="n">
        <v>145.58</v>
      </c>
      <c r="E51" s="44" t="n">
        <v>169.93</v>
      </c>
      <c r="F51" s="44" t="n">
        <v>254.9</v>
      </c>
      <c r="G51" s="44" t="n">
        <v>282.94</v>
      </c>
      <c r="H51" s="44" t="n">
        <f aca="false">Schedules!H17</f>
        <v>282.94</v>
      </c>
      <c r="I51" s="44" t="n">
        <f aca="false">Schedules!I17</f>
        <v>282.94</v>
      </c>
      <c r="J51" s="44" t="n">
        <f aca="false">Schedules!J17</f>
        <v>282.94</v>
      </c>
      <c r="K51" s="44" t="n">
        <f aca="false">Schedules!K17</f>
        <v>282.94</v>
      </c>
      <c r="L51" s="44" t="n">
        <f aca="false">Schedules!L17</f>
        <v>282.94</v>
      </c>
    </row>
    <row r="52" customFormat="false" ht="14.25" hidden="false" customHeight="true" outlineLevel="0" collapsed="false">
      <c r="A52" s="13" t="s">
        <v>248</v>
      </c>
      <c r="C52" s="44" t="n">
        <v>570.59</v>
      </c>
      <c r="D52" s="44" t="n">
        <v>496.32</v>
      </c>
      <c r="E52" s="44" t="n">
        <v>562.09</v>
      </c>
      <c r="F52" s="44" t="n">
        <v>603.85</v>
      </c>
      <c r="G52" s="44" t="n">
        <v>768.17</v>
      </c>
      <c r="H52" s="44" t="n">
        <f aca="false">Schedules!H18</f>
        <v>861.414508444682</v>
      </c>
      <c r="I52" s="44" t="n">
        <f aca="false">Schedules!I18</f>
        <v>1047.37869938539</v>
      </c>
      <c r="J52" s="44" t="n">
        <f aca="false">Schedules!J18</f>
        <v>1266.79110897458</v>
      </c>
      <c r="K52" s="44" t="n">
        <f aca="false">Schedules!K18</f>
        <v>1554.02531772859</v>
      </c>
      <c r="L52" s="44" t="n">
        <f aca="false">Schedules!L18</f>
        <v>1903.15294736199</v>
      </c>
    </row>
    <row r="53" customFormat="false" ht="14.25" hidden="false" customHeight="true" outlineLevel="0" collapsed="false">
      <c r="A53" s="13" t="s">
        <v>249</v>
      </c>
      <c r="C53" s="44" t="n">
        <v>175.82</v>
      </c>
      <c r="D53" s="44" t="n">
        <v>179.15</v>
      </c>
      <c r="E53" s="44" t="n">
        <v>192.68</v>
      </c>
      <c r="F53" s="44" t="n">
        <v>159.44</v>
      </c>
      <c r="G53" s="44" t="n">
        <v>221.49</v>
      </c>
      <c r="H53" s="44" t="n">
        <f aca="false">Schedules!H19</f>
        <v>256.9195293196</v>
      </c>
      <c r="I53" s="44" t="n">
        <f aca="false">Schedules!I19</f>
        <v>312.383921825655</v>
      </c>
      <c r="J53" s="44" t="n">
        <f aca="false">Schedules!J19</f>
        <v>377.824348526056</v>
      </c>
      <c r="K53" s="44" t="n">
        <f aca="false">Schedules!K19</f>
        <v>463.492835641289</v>
      </c>
      <c r="L53" s="44" t="n">
        <f aca="false">Schedules!L19</f>
        <v>567.62122609507</v>
      </c>
    </row>
    <row r="54" customFormat="false" ht="14.25" hidden="false" customHeight="true" outlineLevel="0" collapsed="false">
      <c r="A54" s="38" t="s">
        <v>96</v>
      </c>
      <c r="C54" s="48" t="n">
        <f aca="false">SUM(C48:C53)</f>
        <v>6504.53</v>
      </c>
      <c r="D54" s="48" t="n">
        <f aca="false">SUM(D48:D53)</f>
        <v>5517.63</v>
      </c>
      <c r="E54" s="48" t="n">
        <f aca="false">SUM(E48:E53)</f>
        <v>6012.62</v>
      </c>
      <c r="F54" s="48" t="n">
        <f aca="false">SUM(F48:F53)</f>
        <v>7048.37</v>
      </c>
      <c r="G54" s="48" t="n">
        <f aca="false">SUM(G48:G53)</f>
        <v>7475.98</v>
      </c>
      <c r="H54" s="48" t="n">
        <f aca="false">SUM(H48:H53)</f>
        <v>9100.90706495392</v>
      </c>
      <c r="I54" s="48" t="n">
        <f aca="false">SUM(I48:I53)</f>
        <v>10895.8062842704</v>
      </c>
      <c r="J54" s="48" t="n">
        <f aca="false">SUM(J48:J53)</f>
        <v>13013.5428263856</v>
      </c>
      <c r="K54" s="48" t="n">
        <f aca="false">SUM(K48:K53)</f>
        <v>15785.885471739</v>
      </c>
      <c r="L54" s="48" t="n">
        <f aca="false">SUM(L48:L53)</f>
        <v>19155.6143786909</v>
      </c>
    </row>
    <row r="55" customFormat="false" ht="14.25" hidden="false" customHeight="true" outlineLevel="0" collapsed="false">
      <c r="A55" s="38" t="s">
        <v>250</v>
      </c>
      <c r="C55" s="48" t="n">
        <f aca="false">C37+C45+C54</f>
        <v>23096.09</v>
      </c>
      <c r="D55" s="48" t="n">
        <f aca="false">D37+D45+D54</f>
        <v>22478.39</v>
      </c>
      <c r="E55" s="48" t="n">
        <f aca="false">E37+E45+E54</f>
        <v>23917.03</v>
      </c>
      <c r="F55" s="48" t="n">
        <f aca="false">F37+F45+F54</f>
        <v>26173.69</v>
      </c>
      <c r="G55" s="48" t="n">
        <f aca="false">G37+G45+G54</f>
        <v>28401.92</v>
      </c>
      <c r="H55" s="48" t="n">
        <f aca="false">H37+H45+H54</f>
        <v>35076.2730492556</v>
      </c>
      <c r="I55" s="48" t="n">
        <f aca="false">I37+I45+I54</f>
        <v>43135.9574472129</v>
      </c>
      <c r="J55" s="48" t="n">
        <f aca="false">J37+J45+J54</f>
        <v>52935.5168432709</v>
      </c>
      <c r="K55" s="48" t="n">
        <f aca="false">K37+K45+K54</f>
        <v>65269.5156368175</v>
      </c>
      <c r="L55" s="48" t="n">
        <f aca="false">L37+L45+L54</f>
        <v>80487.6445430557</v>
      </c>
    </row>
    <row r="56" customFormat="false" ht="14.25" hidden="false" customHeight="true" outlineLevel="0" collapsed="false">
      <c r="C56" s="56"/>
      <c r="D56" s="56"/>
      <c r="E56" s="56"/>
      <c r="F56" s="56"/>
      <c r="G56" s="56"/>
      <c r="H56" s="56"/>
      <c r="I56" s="56"/>
      <c r="J56" s="56"/>
      <c r="K56" s="56"/>
      <c r="L56" s="56"/>
    </row>
    <row r="57" customFormat="false" ht="14.25" hidden="false" customHeight="true" outlineLevel="0" collapsed="false">
      <c r="A57" s="24" t="s">
        <v>251</v>
      </c>
      <c r="C57" s="58" t="n">
        <f aca="false">C30-C55</f>
        <v>0</v>
      </c>
      <c r="D57" s="58" t="n">
        <f aca="false">D30-D55</f>
        <v>0</v>
      </c>
      <c r="E57" s="58" t="n">
        <f aca="false">E30-E55</f>
        <v>0</v>
      </c>
      <c r="F57" s="58" t="n">
        <f aca="false">F30-F55</f>
        <v>-20.8999999999978</v>
      </c>
      <c r="G57" s="58" t="n">
        <f aca="false">G30-G55</f>
        <v>-11.5999999999985</v>
      </c>
      <c r="H57" s="58" t="n">
        <f aca="false">H30-H55</f>
        <v>0</v>
      </c>
      <c r="I57" s="58" t="n">
        <f aca="false">I30-I55</f>
        <v>0</v>
      </c>
      <c r="J57" s="58" t="n">
        <f aca="false">J30-J55</f>
        <v>0</v>
      </c>
      <c r="K57" s="58" t="n">
        <f aca="false">K30-K55</f>
        <v>0</v>
      </c>
      <c r="L57" s="58" t="n">
        <f aca="false">L30-L55</f>
        <v>0</v>
      </c>
    </row>
    <row r="58" customFormat="false" ht="14.25" hidden="false" customHeight="true" outlineLevel="0" collapsed="false"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customFormat="false" ht="14.25" hidden="false" customHeight="true" outlineLevel="0" collapsed="false">
      <c r="C59" s="56"/>
      <c r="D59" s="56"/>
      <c r="E59" s="56"/>
      <c r="F59" s="56"/>
      <c r="G59" s="56"/>
      <c r="H59" s="56"/>
      <c r="I59" s="56"/>
      <c r="J59" s="56"/>
      <c r="K59" s="56"/>
      <c r="L59" s="56"/>
    </row>
    <row r="60" customFormat="false" ht="14.25" hidden="false" customHeight="true" outlineLevel="0" collapsed="false">
      <c r="C60" s="56"/>
      <c r="D60" s="56"/>
      <c r="E60" s="56"/>
      <c r="F60" s="56"/>
      <c r="G60" s="56"/>
      <c r="H60" s="56"/>
      <c r="I60" s="56"/>
      <c r="J60" s="56"/>
      <c r="K60" s="56"/>
      <c r="L60" s="56"/>
    </row>
    <row r="61" customFormat="false" ht="14.25" hidden="false" customHeight="true" outlineLevel="0" collapsed="false"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customFormat="false" ht="14.25" hidden="false" customHeight="true" outlineLevel="0" collapsed="false">
      <c r="C62" s="56"/>
      <c r="D62" s="56"/>
      <c r="E62" s="56"/>
      <c r="F62" s="56"/>
      <c r="G62" s="56"/>
      <c r="H62" s="56"/>
      <c r="I62" s="56"/>
      <c r="J62" s="56"/>
      <c r="K62" s="56"/>
      <c r="L62" s="56"/>
    </row>
    <row r="63" customFormat="false" ht="14.25" hidden="false" customHeight="true" outlineLevel="0" collapsed="false">
      <c r="C63" s="56"/>
      <c r="D63" s="56"/>
      <c r="E63" s="56"/>
      <c r="F63" s="56"/>
      <c r="G63" s="56"/>
      <c r="H63" s="56"/>
      <c r="I63" s="56"/>
      <c r="J63" s="56"/>
      <c r="K63" s="56"/>
      <c r="L63" s="56"/>
    </row>
    <row r="64" customFormat="false" ht="14.25" hidden="false" customHeight="true" outlineLevel="0" collapsed="false">
      <c r="C64" s="56"/>
      <c r="D64" s="56"/>
      <c r="E64" s="56"/>
      <c r="F64" s="56"/>
      <c r="G64" s="56"/>
      <c r="H64" s="56"/>
      <c r="I64" s="56"/>
      <c r="J64" s="56"/>
      <c r="K64" s="56"/>
      <c r="L64" s="56"/>
    </row>
    <row r="65" customFormat="false" ht="14.25" hidden="false" customHeight="true" outlineLevel="0" collapsed="false">
      <c r="C65" s="56"/>
      <c r="D65" s="56"/>
      <c r="E65" s="56"/>
      <c r="F65" s="56"/>
      <c r="G65" s="56"/>
      <c r="H65" s="56"/>
      <c r="I65" s="56"/>
      <c r="J65" s="56"/>
      <c r="K65" s="56"/>
      <c r="L65" s="56"/>
    </row>
    <row r="66" customFormat="false" ht="14.25" hidden="false" customHeight="true" outlineLevel="0" collapsed="false">
      <c r="C66" s="56"/>
      <c r="D66" s="56"/>
      <c r="E66" s="56"/>
      <c r="F66" s="56"/>
      <c r="G66" s="56"/>
      <c r="H66" s="56"/>
      <c r="I66" s="56"/>
      <c r="J66" s="56"/>
      <c r="K66" s="56"/>
      <c r="L66" s="56"/>
    </row>
    <row r="67" customFormat="false" ht="14.25" hidden="false" customHeight="true" outlineLevel="0" collapsed="false">
      <c r="C67" s="56"/>
      <c r="D67" s="56"/>
      <c r="E67" s="56"/>
      <c r="F67" s="56"/>
      <c r="G67" s="56"/>
      <c r="H67" s="56"/>
      <c r="I67" s="56"/>
      <c r="J67" s="56"/>
      <c r="K67" s="56"/>
      <c r="L67" s="56"/>
    </row>
    <row r="68" customFormat="false" ht="14.25" hidden="false" customHeight="true" outlineLevel="0" collapsed="false">
      <c r="C68" s="56"/>
      <c r="D68" s="56"/>
      <c r="E68" s="56"/>
      <c r="F68" s="56"/>
      <c r="G68" s="56"/>
      <c r="H68" s="56"/>
      <c r="I68" s="56"/>
      <c r="J68" s="56"/>
      <c r="K68" s="56"/>
      <c r="L68" s="56"/>
    </row>
    <row r="69" customFormat="false" ht="14.25" hidden="false" customHeight="true" outlineLevel="0" collapsed="false">
      <c r="C69" s="56"/>
      <c r="D69" s="56"/>
      <c r="E69" s="56"/>
      <c r="F69" s="56"/>
      <c r="G69" s="56"/>
      <c r="H69" s="56"/>
      <c r="I69" s="56"/>
      <c r="J69" s="56"/>
      <c r="K69" s="56"/>
      <c r="L69" s="56"/>
    </row>
    <row r="70" customFormat="false" ht="14.25" hidden="false" customHeight="true" outlineLevel="0" collapsed="false">
      <c r="C70" s="56"/>
      <c r="D70" s="56"/>
      <c r="E70" s="56"/>
      <c r="F70" s="56"/>
      <c r="G70" s="56"/>
      <c r="H70" s="56"/>
      <c r="I70" s="56"/>
      <c r="J70" s="56"/>
      <c r="K70" s="56"/>
      <c r="L70" s="56"/>
    </row>
    <row r="71" customFormat="false" ht="14.25" hidden="false" customHeight="true" outlineLevel="0" collapsed="false">
      <c r="C71" s="56"/>
      <c r="D71" s="56"/>
      <c r="E71" s="56"/>
      <c r="F71" s="56"/>
      <c r="G71" s="56"/>
      <c r="H71" s="56"/>
      <c r="I71" s="56"/>
      <c r="J71" s="56"/>
      <c r="K71" s="56"/>
      <c r="L71" s="56"/>
    </row>
    <row r="72" customFormat="false" ht="14.25" hidden="false" customHeight="true" outlineLevel="0" collapsed="false">
      <c r="C72" s="56"/>
      <c r="D72" s="56"/>
      <c r="E72" s="56"/>
      <c r="F72" s="56"/>
      <c r="G72" s="56"/>
      <c r="H72" s="56"/>
      <c r="I72" s="56"/>
      <c r="J72" s="56"/>
      <c r="K72" s="56"/>
      <c r="L72" s="56"/>
    </row>
    <row r="73" customFormat="false" ht="14.25" hidden="false" customHeight="true" outlineLevel="0" collapsed="false">
      <c r="C73" s="56"/>
      <c r="D73" s="56"/>
      <c r="E73" s="56"/>
      <c r="F73" s="56"/>
      <c r="G73" s="56"/>
      <c r="H73" s="56"/>
      <c r="I73" s="56"/>
      <c r="J73" s="56"/>
      <c r="K73" s="56"/>
      <c r="L73" s="56"/>
    </row>
    <row r="74" customFormat="false" ht="14.25" hidden="false" customHeight="true" outlineLevel="0" collapsed="false">
      <c r="C74" s="56"/>
      <c r="D74" s="56"/>
      <c r="E74" s="56"/>
      <c r="F74" s="56"/>
      <c r="G74" s="56"/>
      <c r="H74" s="56"/>
      <c r="I74" s="56"/>
      <c r="J74" s="56"/>
      <c r="K74" s="56"/>
      <c r="L74" s="56"/>
    </row>
    <row r="75" customFormat="false" ht="14.25" hidden="false" customHeight="true" outlineLevel="0" collapsed="false">
      <c r="C75" s="56"/>
      <c r="D75" s="56"/>
      <c r="E75" s="56"/>
      <c r="F75" s="56"/>
      <c r="G75" s="56"/>
      <c r="H75" s="56"/>
      <c r="I75" s="56"/>
      <c r="J75" s="56"/>
      <c r="K75" s="56"/>
      <c r="L75" s="56"/>
    </row>
    <row r="76" customFormat="false" ht="14.25" hidden="false" customHeight="true" outlineLevel="0" collapsed="false">
      <c r="C76" s="56"/>
      <c r="D76" s="56"/>
      <c r="E76" s="56"/>
      <c r="F76" s="56"/>
      <c r="G76" s="56"/>
      <c r="H76" s="56"/>
      <c r="I76" s="56"/>
      <c r="J76" s="56"/>
      <c r="K76" s="56"/>
      <c r="L76" s="56"/>
    </row>
    <row r="77" customFormat="false" ht="14.25" hidden="false" customHeight="true" outlineLevel="0" collapsed="false">
      <c r="C77" s="56"/>
      <c r="D77" s="56"/>
      <c r="E77" s="56"/>
      <c r="F77" s="56"/>
      <c r="G77" s="56"/>
      <c r="H77" s="56"/>
      <c r="I77" s="56"/>
      <c r="J77" s="56"/>
      <c r="K77" s="56"/>
      <c r="L77" s="56"/>
    </row>
    <row r="78" customFormat="false" ht="14.25" hidden="false" customHeight="true" outlineLevel="0" collapsed="false">
      <c r="C78" s="56"/>
      <c r="D78" s="56"/>
      <c r="E78" s="56"/>
      <c r="F78" s="56"/>
      <c r="G78" s="56"/>
      <c r="H78" s="56"/>
      <c r="I78" s="56"/>
      <c r="J78" s="56"/>
      <c r="K78" s="56"/>
      <c r="L78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B9" activeCellId="0" sqref="B9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12" min="3" style="1" width="11"/>
  </cols>
  <sheetData>
    <row r="1" customFormat="false" ht="15.75" hidden="false" customHeight="true" outlineLevel="0" collapsed="false">
      <c r="A1" s="2" t="s">
        <v>252</v>
      </c>
    </row>
    <row r="2" customFormat="false" ht="14.25" hidden="false" customHeight="true" outlineLevel="0" collapsed="false">
      <c r="A2" s="54" t="s">
        <v>253</v>
      </c>
    </row>
    <row r="3" customFormat="false" ht="14.25" hidden="false" customHeight="true" outlineLevel="0" collapsed="false">
      <c r="A3" s="32" t="s">
        <v>254</v>
      </c>
      <c r="H3" s="32" t="s">
        <v>31</v>
      </c>
      <c r="I3" s="32" t="s">
        <v>32</v>
      </c>
      <c r="J3" s="32" t="s">
        <v>33</v>
      </c>
      <c r="K3" s="32" t="s">
        <v>34</v>
      </c>
      <c r="L3" s="32" t="s">
        <v>35</v>
      </c>
    </row>
    <row r="4" customFormat="false" ht="14.25" hidden="false" customHeight="true" outlineLevel="0" collapsed="false">
      <c r="A4" s="13" t="s">
        <v>255</v>
      </c>
      <c r="H4" s="21" t="n">
        <f aca="false">'P&amp;L'!H31</f>
        <v>5050.63548430171</v>
      </c>
      <c r="I4" s="21" t="n">
        <f aca="false">'P&amp;L'!I31</f>
        <v>6253.87515364073</v>
      </c>
      <c r="J4" s="21" t="n">
        <f aca="false">'P&amp;L'!J31</f>
        <v>7670.36732769291</v>
      </c>
      <c r="K4" s="21" t="n">
        <f aca="false">'P&amp;L'!K31</f>
        <v>9549.62784563063</v>
      </c>
      <c r="L4" s="21" t="n">
        <f aca="false">'P&amp;L'!L31</f>
        <v>11835.7702815957</v>
      </c>
    </row>
    <row r="5" customFormat="false" ht="14.25" hidden="false" customHeight="true" outlineLevel="0" collapsed="false">
      <c r="A5" s="13" t="s">
        <v>256</v>
      </c>
      <c r="H5" s="21" t="n">
        <f aca="false">'P&amp;L'!H15</f>
        <v>83.6328006341892</v>
      </c>
      <c r="I5" s="21" t="n">
        <f aca="false">'P&amp;L'!I15</f>
        <v>80.8216363810353</v>
      </c>
      <c r="J5" s="21" t="n">
        <f aca="false">'P&amp;L'!J15</f>
        <v>84.1223203776384</v>
      </c>
      <c r="K5" s="21" t="n">
        <f aca="false">'P&amp;L'!K15</f>
        <v>84.4143121635612</v>
      </c>
      <c r="L5" s="21" t="n">
        <f aca="false">'P&amp;L'!L15</f>
        <v>86.3327164131695</v>
      </c>
    </row>
    <row r="6" customFormat="false" ht="14.25" hidden="false" customHeight="true" outlineLevel="0" collapsed="false">
      <c r="A6" s="13" t="s">
        <v>257</v>
      </c>
      <c r="H6" s="21" t="n">
        <f aca="false">'P&amp;L'!H16</f>
        <v>859.648982041881</v>
      </c>
      <c r="I6" s="21" t="n">
        <f aca="false">'P&amp;L'!I16</f>
        <v>931.98420740657</v>
      </c>
      <c r="J6" s="21" t="n">
        <f aca="false">'P&amp;L'!J16</f>
        <v>1015.03594574882</v>
      </c>
      <c r="K6" s="21" t="n">
        <f aca="false">'P&amp;L'!K16</f>
        <v>1093.76326930798</v>
      </c>
      <c r="L6" s="21" t="n">
        <f aca="false">'P&amp;L'!L16</f>
        <v>1185.24591859225</v>
      </c>
    </row>
    <row r="7" customFormat="false" ht="14.25" hidden="false" customHeight="true" outlineLevel="0" collapsed="false">
      <c r="A7" s="13" t="s">
        <v>258</v>
      </c>
      <c r="H7" s="21" t="n">
        <f aca="false">-Schedules!H22</f>
        <v>571.154059828767</v>
      </c>
      <c r="I7" s="21" t="n">
        <f aca="false">-Schedules!I22</f>
        <v>302.976647033621</v>
      </c>
      <c r="J7" s="21" t="n">
        <f aca="false">-Schedules!J22</f>
        <v>357.471166027327</v>
      </c>
      <c r="K7" s="21" t="n">
        <f aca="false">-Schedules!K22</f>
        <v>467.967822414766</v>
      </c>
      <c r="L7" s="21" t="n">
        <f aca="false">-Schedules!L22</f>
        <v>568.805844168409</v>
      </c>
    </row>
    <row r="8" customFormat="false" ht="14.25" hidden="false" customHeight="true" outlineLevel="0" collapsed="false">
      <c r="A8" s="24" t="s">
        <v>259</v>
      </c>
      <c r="H8" s="49" t="n">
        <f aca="false">SUM(H4:H7)-'P&amp;L'!H21</f>
        <v>6657.82466013988</v>
      </c>
      <c r="I8" s="49" t="n">
        <f aca="false">SUM(I4:I7)-'P&amp;L'!I21</f>
        <v>7662.41097779529</v>
      </c>
      <c r="J8" s="49" t="n">
        <f aca="false">SUM(J4:J7)-'P&amp;L'!J21</f>
        <v>9219.75009318004</v>
      </c>
      <c r="K8" s="49" t="n">
        <f aca="false">SUM(K4:K7)-'P&amp;L'!K21</f>
        <v>11288.5265828503</v>
      </c>
      <c r="L8" s="49" t="n">
        <f aca="false">SUM(L4:L7)-'P&amp;L'!L21</f>
        <v>13768.9080941029</v>
      </c>
    </row>
    <row r="10" customFormat="false" ht="14.25" hidden="false" customHeight="true" outlineLevel="0" collapsed="false">
      <c r="A10" s="13" t="s">
        <v>260</v>
      </c>
      <c r="H10" s="21" t="n">
        <f aca="false">-(('Balance Sheet'!H6-'Balance Sheet'!G6)+('Balance Sheet'!H9-'Balance Sheet'!G9)+('Balance Sheet'!H10-'Balance Sheet'!G10)+('Balance Sheet'!H12-'Balance Sheet'!G12)+('Balance Sheet'!H13-'Balance Sheet'!G13)+('Balance Sheet'!H14-'Balance Sheet'!G14)+('Balance Sheet'!H16-'Balance Sheet'!G16)-('P&amp;L'!H21))</f>
        <v>-0</v>
      </c>
      <c r="I10" s="21" t="n">
        <f aca="false">-(('Balance Sheet'!I6-'Balance Sheet'!H6)+('Balance Sheet'!I9-'Balance Sheet'!H9)+('Balance Sheet'!I10-'Balance Sheet'!H10)+('Balance Sheet'!I12-'Balance Sheet'!H12)+('Balance Sheet'!I13-'Balance Sheet'!H13)+('Balance Sheet'!I14-'Balance Sheet'!H14)+('Balance Sheet'!I16-'Balance Sheet'!H16)-('P&amp;L'!I21))</f>
        <v>-0</v>
      </c>
      <c r="J10" s="21" t="n">
        <f aca="false">-(('Balance Sheet'!J6-'Balance Sheet'!I6)+('Balance Sheet'!J9-'Balance Sheet'!I9)+('Balance Sheet'!J10-'Balance Sheet'!I10)+('Balance Sheet'!J12-'Balance Sheet'!I12)+('Balance Sheet'!J13-'Balance Sheet'!I13)+('Balance Sheet'!J14-'Balance Sheet'!I14)+('Balance Sheet'!J16-'Balance Sheet'!I16)-('P&amp;L'!J21))</f>
        <v>-0</v>
      </c>
      <c r="K10" s="21" t="n">
        <f aca="false">-(('Balance Sheet'!K6-'Balance Sheet'!J6)+('Balance Sheet'!K9-'Balance Sheet'!J9)+('Balance Sheet'!K10-'Balance Sheet'!J10)+('Balance Sheet'!K12-'Balance Sheet'!J12)+('Balance Sheet'!K13-'Balance Sheet'!J13)+('Balance Sheet'!K14-'Balance Sheet'!J14)+('Balance Sheet'!K16-'Balance Sheet'!J16)-('P&amp;L'!K21))</f>
        <v>-0</v>
      </c>
      <c r="L10" s="21" t="n">
        <f aca="false">-(('Balance Sheet'!L6-'Balance Sheet'!K6)+('Balance Sheet'!L9-'Balance Sheet'!K9)+('Balance Sheet'!L10-'Balance Sheet'!K10)+('Balance Sheet'!L12-'Balance Sheet'!K12)+('Balance Sheet'!L13-'Balance Sheet'!K13)+('Balance Sheet'!L14-'Balance Sheet'!K14)+('Balance Sheet'!L16-'Balance Sheet'!K16)-('P&amp;L'!L21))</f>
        <v>-0</v>
      </c>
    </row>
    <row r="11" customFormat="false" ht="14.25" hidden="false" customHeight="true" outlineLevel="0" collapsed="false">
      <c r="A11" s="13" t="s">
        <v>261</v>
      </c>
      <c r="H11" s="21" t="n">
        <f aca="false">-Schedules!H88</f>
        <v>-1071.967</v>
      </c>
      <c r="I11" s="21" t="n">
        <f aca="false">-Schedules!I88</f>
        <v>-1117.54367665445</v>
      </c>
      <c r="J11" s="21" t="n">
        <f aca="false">-Schedules!J88</f>
        <v>-1211.57946962854</v>
      </c>
      <c r="K11" s="21" t="n">
        <f aca="false">-Schedules!K88</f>
        <v>-1319.54672947347</v>
      </c>
      <c r="L11" s="21" t="n">
        <f aca="false">-Schedules!L88</f>
        <v>-1421.89225010037</v>
      </c>
    </row>
    <row r="12" customFormat="false" ht="14.25" hidden="false" customHeight="true" outlineLevel="0" collapsed="false">
      <c r="A12" s="24" t="s">
        <v>262</v>
      </c>
      <c r="H12" s="49" t="n">
        <f aca="false">H10+H11</f>
        <v>-1071.967</v>
      </c>
      <c r="I12" s="49" t="n">
        <f aca="false">I10+I11</f>
        <v>-1117.54367665445</v>
      </c>
      <c r="J12" s="49" t="n">
        <f aca="false">J10+J11</f>
        <v>-1211.57946962854</v>
      </c>
      <c r="K12" s="49" t="n">
        <f aca="false">K10+K11</f>
        <v>-1319.54672947347</v>
      </c>
      <c r="L12" s="49" t="n">
        <f aca="false">L10+L11</f>
        <v>-1421.89225010037</v>
      </c>
    </row>
    <row r="14" customFormat="false" ht="14.25" hidden="false" customHeight="true" outlineLevel="0" collapsed="false">
      <c r="A14" s="13" t="s">
        <v>263</v>
      </c>
      <c r="H14" s="21" t="n">
        <f aca="false">'Balance Sheet'!H33-'Balance Sheet'!G33</f>
        <v>0</v>
      </c>
      <c r="I14" s="21" t="n">
        <f aca="false">'Balance Sheet'!I33-'Balance Sheet'!H33</f>
        <v>0</v>
      </c>
      <c r="J14" s="21" t="n">
        <f aca="false">'Balance Sheet'!J33-'Balance Sheet'!I33</f>
        <v>0</v>
      </c>
      <c r="K14" s="21" t="n">
        <f aca="false">'Balance Sheet'!K33-'Balance Sheet'!J33</f>
        <v>0</v>
      </c>
      <c r="L14" s="21" t="n">
        <f aca="false">'Balance Sheet'!L33-'Balance Sheet'!K33</f>
        <v>0</v>
      </c>
    </row>
    <row r="15" customFormat="false" ht="14.25" hidden="false" customHeight="true" outlineLevel="0" collapsed="false">
      <c r="A15" s="13" t="s">
        <v>264</v>
      </c>
      <c r="H15" s="21" t="n">
        <f aca="false">('Balance Sheet'!H40-'Balance Sheet'!G40)+('Balance Sheet'!H48-'Balance Sheet'!G48)+('Balance Sheet'!H41-'Balance Sheet'!G41)+('Balance Sheet'!H49-'Balance Sheet'!G49)</f>
        <v>10.3905</v>
      </c>
      <c r="I15" s="21" t="n">
        <f aca="false">('Balance Sheet'!I40-'Balance Sheet'!H40)+('Balance Sheet'!I48-'Balance Sheet'!H48)+('Balance Sheet'!I41-'Balance Sheet'!H41)+('Balance Sheet'!I49-'Balance Sheet'!H49)</f>
        <v>10.910025</v>
      </c>
      <c r="J15" s="21" t="n">
        <f aca="false">('Balance Sheet'!J40-'Balance Sheet'!I40)+('Balance Sheet'!J48-'Balance Sheet'!I48)+('Balance Sheet'!J41-'Balance Sheet'!I41)+('Balance Sheet'!J49-'Balance Sheet'!I49)</f>
        <v>11.45552625</v>
      </c>
      <c r="K15" s="21" t="n">
        <f aca="false">('Balance Sheet'!K40-'Balance Sheet'!J40)+('Balance Sheet'!K48-'Balance Sheet'!J48)+('Balance Sheet'!K41-'Balance Sheet'!J41)+('Balance Sheet'!K49-'Balance Sheet'!J49)</f>
        <v>12.0283025625</v>
      </c>
      <c r="L15" s="21" t="n">
        <f aca="false">('Balance Sheet'!L40-'Balance Sheet'!K40)+('Balance Sheet'!L48-'Balance Sheet'!K48)+('Balance Sheet'!L41-'Balance Sheet'!K41)+('Balance Sheet'!L49-'Balance Sheet'!K49)</f>
        <v>12.629717690625</v>
      </c>
    </row>
    <row r="16" customFormat="false" ht="14.25" hidden="false" customHeight="true" outlineLevel="0" collapsed="false">
      <c r="A16" s="13" t="s">
        <v>265</v>
      </c>
      <c r="H16" s="21" t="n">
        <f aca="false">-'P&amp;L'!H15</f>
        <v>-83.6328006341892</v>
      </c>
      <c r="I16" s="21" t="n">
        <f aca="false">-'P&amp;L'!I15</f>
        <v>-80.8216363810353</v>
      </c>
      <c r="J16" s="21" t="n">
        <f aca="false">-'P&amp;L'!J15</f>
        <v>-84.1223203776384</v>
      </c>
      <c r="K16" s="21" t="n">
        <f aca="false">-'P&amp;L'!K15</f>
        <v>-84.4143121635612</v>
      </c>
      <c r="L16" s="21" t="n">
        <f aca="false">-'P&amp;L'!L15</f>
        <v>-86.3327164131695</v>
      </c>
    </row>
    <row r="17" customFormat="false" ht="14.25" hidden="false" customHeight="true" outlineLevel="0" collapsed="false">
      <c r="A17" s="13" t="s">
        <v>266</v>
      </c>
      <c r="H17" s="21" t="n">
        <f aca="false">0</f>
        <v>0</v>
      </c>
      <c r="I17" s="21" t="n">
        <f aca="false">0</f>
        <v>0</v>
      </c>
      <c r="J17" s="21" t="n">
        <f aca="false">0</f>
        <v>0</v>
      </c>
      <c r="K17" s="21" t="n">
        <f aca="false">0</f>
        <v>0</v>
      </c>
      <c r="L17" s="21" t="n">
        <f aca="false">0</f>
        <v>0</v>
      </c>
    </row>
    <row r="18" customFormat="false" ht="14.25" hidden="false" customHeight="true" outlineLevel="0" collapsed="false">
      <c r="A18" s="24" t="s">
        <v>267</v>
      </c>
      <c r="H18" s="49" t="n">
        <f aca="false">SUM(H14:H17)</f>
        <v>-73.2423006341892</v>
      </c>
      <c r="I18" s="49" t="n">
        <f aca="false">SUM(I14:I17)</f>
        <v>-69.9116113810353</v>
      </c>
      <c r="J18" s="49" t="n">
        <f aca="false">SUM(J14:J17)</f>
        <v>-72.6667941276384</v>
      </c>
      <c r="K18" s="49" t="n">
        <f aca="false">SUM(K14:K17)</f>
        <v>-72.3860096010612</v>
      </c>
      <c r="L18" s="49" t="n">
        <f aca="false">SUM(L14:L17)</f>
        <v>-73.7029987225444</v>
      </c>
    </row>
    <row r="20" customFormat="false" ht="14.25" hidden="false" customHeight="true" outlineLevel="0" collapsed="false">
      <c r="A20" s="24" t="s">
        <v>268</v>
      </c>
      <c r="H20" s="49" t="n">
        <f aca="false">H8+H12+H18+'Balance Sheet'!G23</f>
        <v>5896.16535950569</v>
      </c>
      <c r="I20" s="49" t="n">
        <f aca="false">I8+I12+I18+'Balance Sheet'!H23</f>
        <v>12371.1210492655</v>
      </c>
      <c r="J20" s="49" t="n">
        <f aca="false">J8+J12+J18+'Balance Sheet'!I23</f>
        <v>20306.6248786894</v>
      </c>
      <c r="K20" s="49" t="n">
        <f aca="false">K8+K12+K18+'Balance Sheet'!J23</f>
        <v>30203.2187224651</v>
      </c>
      <c r="L20" s="49" t="n">
        <f aca="false">L8+L12+L18+'Balance Sheet'!K23</f>
        <v>42476.5315677451</v>
      </c>
    </row>
    <row r="22" customFormat="false" ht="14.25" hidden="false" customHeight="true" outlineLevel="0" collapsed="false">
      <c r="A22" s="13" t="s">
        <v>269</v>
      </c>
      <c r="H22" s="21" t="n">
        <f aca="false">H20-'Balance Sheet'!G23</f>
        <v>5512.61535950569</v>
      </c>
      <c r="I22" s="21" t="n">
        <f aca="false">I20-'Balance Sheet'!H23</f>
        <v>6474.95568975981</v>
      </c>
      <c r="J22" s="21" t="n">
        <f aca="false">J20-'Balance Sheet'!I23</f>
        <v>7935.50382942386</v>
      </c>
      <c r="K22" s="21" t="n">
        <f aca="false">K20-'Balance Sheet'!J23</f>
        <v>9896.59384377574</v>
      </c>
      <c r="L22" s="21" t="n">
        <f aca="false">L20-'Balance Sheet'!K23</f>
        <v>12273.31284528</v>
      </c>
    </row>
    <row r="23" customFormat="false" ht="14.25" hidden="false" customHeight="true" outlineLevel="0" collapsed="false">
      <c r="A23" s="13" t="s">
        <v>270</v>
      </c>
      <c r="H23" s="21" t="n">
        <f aca="false">'Balance Sheet'!G23</f>
        <v>383.55</v>
      </c>
      <c r="I23" s="21" t="n">
        <f aca="false">'Balance Sheet'!H23</f>
        <v>5896.16535950569</v>
      </c>
      <c r="J23" s="21" t="n">
        <f aca="false">'Balance Sheet'!I23</f>
        <v>12371.1210492655</v>
      </c>
      <c r="K23" s="21" t="n">
        <f aca="false">'Balance Sheet'!J23</f>
        <v>20306.6248786894</v>
      </c>
      <c r="L23" s="21" t="n">
        <f aca="false">'Balance Sheet'!K23</f>
        <v>30203.2187224651</v>
      </c>
    </row>
    <row r="25" customFormat="false" ht="14.25" hidden="false" customHeight="true" outlineLevel="0" collapsed="false">
      <c r="A25" s="1" t="s">
        <v>271</v>
      </c>
      <c r="H25" s="7" t="n">
        <f aca="false">H20-'Balance Sheet'!H23</f>
        <v>0</v>
      </c>
      <c r="I25" s="7" t="n">
        <f aca="false">I20-'Balance Sheet'!I23</f>
        <v>0</v>
      </c>
      <c r="J25" s="7" t="n">
        <f aca="false">J20-'Balance Sheet'!J23</f>
        <v>0</v>
      </c>
      <c r="K25" s="7" t="n">
        <f aca="false">K20-'Balance Sheet'!K23</f>
        <v>0</v>
      </c>
      <c r="L25" s="7" t="n">
        <f aca="false">L20-'Balance Sheet'!L23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6" activeCellId="0" sqref="A6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7" min="3" style="1" width="12"/>
  </cols>
  <sheetData>
    <row r="1" customFormat="false" ht="15.75" hidden="false" customHeight="true" outlineLevel="0" collapsed="false">
      <c r="A1" s="2" t="s">
        <v>272</v>
      </c>
    </row>
    <row r="2" customFormat="false" ht="14.25" hidden="false" customHeight="true" outlineLevel="0" collapsed="false">
      <c r="A2" s="54" t="s">
        <v>273</v>
      </c>
    </row>
    <row r="3" customFormat="false" ht="14.25" hidden="false" customHeight="true" outlineLevel="0" collapsed="false">
      <c r="A3" s="12" t="s">
        <v>274</v>
      </c>
      <c r="C3" s="12" t="s">
        <v>31</v>
      </c>
      <c r="D3" s="12" t="s">
        <v>32</v>
      </c>
      <c r="E3" s="12" t="s">
        <v>33</v>
      </c>
      <c r="F3" s="12" t="s">
        <v>34</v>
      </c>
      <c r="G3" s="12" t="s">
        <v>35</v>
      </c>
    </row>
    <row r="4" customFormat="false" ht="14.25" hidden="false" customHeight="true" outlineLevel="0" collapsed="false">
      <c r="A4" s="13" t="s">
        <v>275</v>
      </c>
      <c r="C4" s="21" t="n">
        <f aca="false">'P&amp;L'!H34</f>
        <v>5982.17229437462</v>
      </c>
      <c r="D4" s="21" t="n">
        <f aca="false">'P&amp;L'!I34</f>
        <v>7386.86554456572</v>
      </c>
      <c r="E4" s="21" t="n">
        <f aca="false">'P&amp;L'!J34</f>
        <v>9046.50617734178</v>
      </c>
      <c r="F4" s="21" t="n">
        <f aca="false">'P&amp;L'!K34</f>
        <v>11249.1487419171</v>
      </c>
      <c r="G4" s="21" t="n">
        <f aca="false">'P&amp;L'!L34</f>
        <v>13930.6271017566</v>
      </c>
    </row>
    <row r="5" customFormat="false" ht="14.25" hidden="false" customHeight="true" outlineLevel="0" collapsed="false">
      <c r="A5" s="13" t="s">
        <v>276</v>
      </c>
      <c r="C5" s="21" t="n">
        <f aca="false">Assumptions!H11</f>
        <v>0.267559831599094</v>
      </c>
      <c r="D5" s="21" t="n">
        <f aca="false">Assumptions!I11</f>
        <v>0.267559831599094</v>
      </c>
      <c r="E5" s="21" t="n">
        <f aca="false">Assumptions!J11</f>
        <v>0.267559831599094</v>
      </c>
      <c r="F5" s="21" t="n">
        <f aca="false">Assumptions!K11</f>
        <v>0.267559831599094</v>
      </c>
      <c r="G5" s="21" t="n">
        <f aca="false">Assumptions!L11</f>
        <v>0.267559831599094</v>
      </c>
    </row>
    <row r="6" customFormat="false" ht="14.25" hidden="false" customHeight="true" outlineLevel="0" collapsed="false">
      <c r="A6" s="24" t="s">
        <v>277</v>
      </c>
      <c r="C6" s="49" t="n">
        <f aca="false">C4*(1-C5)</f>
        <v>4381.58328269498</v>
      </c>
      <c r="D6" s="49" t="n">
        <f aca="false">D4*(1-D5)</f>
        <v>5410.43704341657</v>
      </c>
      <c r="E6" s="49" t="n">
        <f aca="false">E4*(1-E5)</f>
        <v>6626.02450797205</v>
      </c>
      <c r="F6" s="49" t="n">
        <f aca="false">F4*(1-F5)</f>
        <v>8239.3283988966</v>
      </c>
      <c r="G6" s="49" t="n">
        <f aca="false">G4*(1-G5)</f>
        <v>10203.3508603408</v>
      </c>
    </row>
    <row r="7" customFormat="false" ht="14.25" hidden="false" customHeight="true" outlineLevel="0" collapsed="false">
      <c r="A7" s="13" t="s">
        <v>257</v>
      </c>
      <c r="C7" s="21" t="n">
        <f aca="false">'P&amp;L'!H16</f>
        <v>859.648982041881</v>
      </c>
      <c r="D7" s="21" t="n">
        <f aca="false">'P&amp;L'!I16</f>
        <v>931.98420740657</v>
      </c>
      <c r="E7" s="21" t="n">
        <f aca="false">'P&amp;L'!J16</f>
        <v>1015.03594574882</v>
      </c>
      <c r="F7" s="21" t="n">
        <f aca="false">'P&amp;L'!K16</f>
        <v>1093.76326930798</v>
      </c>
      <c r="G7" s="21" t="n">
        <f aca="false">'P&amp;L'!L16</f>
        <v>1185.24591859225</v>
      </c>
    </row>
    <row r="8" customFormat="false" ht="14.25" hidden="false" customHeight="true" outlineLevel="0" collapsed="false">
      <c r="A8" s="13" t="s">
        <v>261</v>
      </c>
      <c r="C8" s="21" t="n">
        <f aca="false">-Schedules!H88</f>
        <v>-1071.967</v>
      </c>
      <c r="D8" s="21" t="n">
        <f aca="false">-Schedules!I88</f>
        <v>-1117.54367665445</v>
      </c>
      <c r="E8" s="21" t="n">
        <f aca="false">-Schedules!J88</f>
        <v>-1211.57946962854</v>
      </c>
      <c r="F8" s="21" t="n">
        <f aca="false">-Schedules!K88</f>
        <v>-1319.54672947347</v>
      </c>
      <c r="G8" s="21" t="n">
        <f aca="false">-Schedules!L88</f>
        <v>-1421.89225010037</v>
      </c>
    </row>
    <row r="9" customFormat="false" ht="14.25" hidden="false" customHeight="true" outlineLevel="0" collapsed="false">
      <c r="A9" s="13" t="s">
        <v>258</v>
      </c>
      <c r="C9" s="21" t="n">
        <f aca="false">-Schedules!H22</f>
        <v>571.154059828767</v>
      </c>
      <c r="D9" s="21" t="n">
        <f aca="false">-Schedules!I22</f>
        <v>302.976647033621</v>
      </c>
      <c r="E9" s="21" t="n">
        <f aca="false">-Schedules!J22</f>
        <v>357.471166027327</v>
      </c>
      <c r="F9" s="21" t="n">
        <f aca="false">-Schedules!K22</f>
        <v>467.967822414766</v>
      </c>
      <c r="G9" s="21" t="n">
        <f aca="false">-Schedules!L22</f>
        <v>568.805844168409</v>
      </c>
    </row>
    <row r="10" customFormat="false" ht="14.25" hidden="false" customHeight="true" outlineLevel="0" collapsed="false">
      <c r="A10" s="24" t="s">
        <v>278</v>
      </c>
      <c r="C10" s="39" t="n">
        <f aca="false">SUM(C6:C9)</f>
        <v>4740.41932456563</v>
      </c>
      <c r="D10" s="39" t="n">
        <f aca="false">SUM(D6:D9)</f>
        <v>5527.85422120231</v>
      </c>
      <c r="E10" s="39" t="n">
        <f aca="false">SUM(E6:E9)</f>
        <v>6786.95215011966</v>
      </c>
      <c r="F10" s="39" t="n">
        <f aca="false">SUM(F6:F9)</f>
        <v>8481.51276114588</v>
      </c>
      <c r="G10" s="39" t="n">
        <f aca="false">SUM(G6:G9)</f>
        <v>10535.5103730011</v>
      </c>
    </row>
    <row r="12" customFormat="false" ht="14.25" hidden="false" customHeight="true" outlineLevel="0" collapsed="false">
      <c r="A12" s="13" t="s">
        <v>279</v>
      </c>
      <c r="C12" s="21" t="n">
        <v>1</v>
      </c>
      <c r="D12" s="21" t="n">
        <v>2</v>
      </c>
      <c r="E12" s="21" t="n">
        <v>3</v>
      </c>
      <c r="F12" s="21" t="n">
        <v>4</v>
      </c>
      <c r="G12" s="21" t="n">
        <v>5</v>
      </c>
    </row>
    <row r="13" customFormat="false" ht="14.25" hidden="false" customHeight="true" outlineLevel="0" collapsed="false">
      <c r="A13" s="13" t="s">
        <v>280</v>
      </c>
      <c r="C13" s="21" t="n">
        <f aca="false">1/(1+WACC!$C$23)^C12</f>
        <v>0.90717596197329</v>
      </c>
      <c r="D13" s="21" t="n">
        <f aca="false">1/(1+WACC!$C$23)^D12</f>
        <v>0.822968225982163</v>
      </c>
      <c r="E13" s="21" t="n">
        <f aca="false">1/(1+WACC!$C$23)^E12</f>
        <v>0.74657699207882</v>
      </c>
      <c r="F13" s="21" t="n">
        <f aca="false">1/(1+WACC!$C$23)^F12</f>
        <v>0.677276700976229</v>
      </c>
      <c r="G13" s="21" t="n">
        <f aca="false">1/(1+WACC!$C$23)^G12</f>
        <v>0.614409142730206</v>
      </c>
    </row>
    <row r="14" customFormat="false" ht="14.25" hidden="false" customHeight="true" outlineLevel="0" collapsed="false">
      <c r="A14" s="13" t="s">
        <v>281</v>
      </c>
      <c r="C14" s="21" t="n">
        <f aca="false">C10*C13</f>
        <v>4300.3944609196</v>
      </c>
      <c r="D14" s="21" t="n">
        <f aca="false">D10*D13</f>
        <v>4549.24838191088</v>
      </c>
      <c r="E14" s="21" t="n">
        <f aca="false">E10*E13</f>
        <v>5066.98232161922</v>
      </c>
      <c r="F14" s="21" t="n">
        <f aca="false">F10*F13</f>
        <v>5744.33098215666</v>
      </c>
      <c r="G14" s="21" t="n">
        <f aca="false">G10*G13</f>
        <v>6473.11389650082</v>
      </c>
    </row>
    <row r="16" customFormat="false" ht="14.25" hidden="false" customHeight="true" outlineLevel="0" collapsed="false">
      <c r="A16" s="24" t="s">
        <v>282</v>
      </c>
      <c r="C16" s="49" t="n">
        <f aca="false">SUM(C14:G14)</f>
        <v>26134.0700431072</v>
      </c>
    </row>
    <row r="17" customFormat="false" ht="14.25" hidden="false" customHeight="true" outlineLevel="0" collapsed="false">
      <c r="A17" s="13" t="s">
        <v>283</v>
      </c>
      <c r="C17" s="15" t="n">
        <v>0.05</v>
      </c>
      <c r="M17" s="1" t="s">
        <v>284</v>
      </c>
    </row>
    <row r="18" customFormat="false" ht="14.25" hidden="false" customHeight="true" outlineLevel="0" collapsed="false">
      <c r="A18" s="13" t="s">
        <v>285</v>
      </c>
      <c r="C18" s="21" t="n">
        <f aca="false">G10*(1+C17)/(WACC!$C$23-C17)</f>
        <v>211427.138272033</v>
      </c>
    </row>
    <row r="19" customFormat="false" ht="14.25" hidden="false" customHeight="true" outlineLevel="0" collapsed="false">
      <c r="A19" s="13" t="s">
        <v>286</v>
      </c>
      <c r="C19" s="21" t="n">
        <f aca="false">C18*G13</f>
        <v>129902.766775621</v>
      </c>
    </row>
    <row r="20" customFormat="false" ht="14.25" hidden="false" customHeight="true" outlineLevel="0" collapsed="false">
      <c r="A20" s="38" t="s">
        <v>287</v>
      </c>
      <c r="C20" s="39" t="n">
        <f aca="false">C16+C19</f>
        <v>156036.836818728</v>
      </c>
    </row>
    <row r="22" customFormat="false" ht="14.25" hidden="false" customHeight="true" outlineLevel="0" collapsed="false">
      <c r="A22" s="13" t="s">
        <v>288</v>
      </c>
      <c r="C22" s="21" t="n">
        <f aca="false">-Schedules!G48</f>
        <v>-711.53</v>
      </c>
    </row>
    <row r="23" customFormat="false" ht="14.25" hidden="false" customHeight="true" outlineLevel="0" collapsed="false">
      <c r="A23" s="13" t="s">
        <v>289</v>
      </c>
      <c r="C23" s="21" t="n">
        <f aca="false">'Balance Sheet'!G23+'Balance Sheet'!G24+'Balance Sheet'!G21</f>
        <v>7210.07</v>
      </c>
    </row>
    <row r="24" customFormat="false" ht="14.25" hidden="false" customHeight="true" outlineLevel="0" collapsed="false">
      <c r="A24" s="1" t="s">
        <v>290</v>
      </c>
      <c r="C24" s="7" t="n">
        <f aca="false">'Balance Sheet'!G12+'Balance Sheet'!G10</f>
        <v>7748.27</v>
      </c>
      <c r="M24" s="1" t="s">
        <v>291</v>
      </c>
    </row>
    <row r="25" customFormat="false" ht="14.25" hidden="false" customHeight="true" outlineLevel="0" collapsed="false">
      <c r="A25" s="38" t="s">
        <v>292</v>
      </c>
      <c r="C25" s="39" t="n">
        <f aca="false">C20+C22+C23+C24</f>
        <v>170283.646818728</v>
      </c>
    </row>
    <row r="26" customFormat="false" ht="14.25" hidden="false" customHeight="true" outlineLevel="0" collapsed="false">
      <c r="A26" s="13" t="s">
        <v>293</v>
      </c>
      <c r="C26" s="21" t="n">
        <f aca="false">WACC!C17</f>
        <v>20</v>
      </c>
    </row>
    <row r="27" customFormat="false" ht="14.25" hidden="false" customHeight="true" outlineLevel="0" collapsed="false">
      <c r="A27" s="24" t="s">
        <v>294</v>
      </c>
      <c r="C27" s="49" t="n">
        <f aca="false">C25/C26</f>
        <v>8514.18234093639</v>
      </c>
    </row>
    <row r="29" customFormat="false" ht="14.25" hidden="false" customHeight="true" outlineLevel="0" collapsed="false">
      <c r="A29" s="13" t="s">
        <v>295</v>
      </c>
      <c r="C29" s="21" t="n">
        <f aca="false">WACC!C16</f>
        <v>5000</v>
      </c>
    </row>
    <row r="30" customFormat="false" ht="14.25" hidden="false" customHeight="true" outlineLevel="0" collapsed="false">
      <c r="A30" s="13" t="s">
        <v>296</v>
      </c>
      <c r="C30" s="21" t="n">
        <f aca="false">C27/C29-1</f>
        <v>0.702836468187278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6" activeCellId="0" sqref="A6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3"/>
  </cols>
  <sheetData>
    <row r="1" customFormat="false" ht="15.75" hidden="false" customHeight="true" outlineLevel="0" collapsed="false">
      <c r="A1" s="2" t="s">
        <v>297</v>
      </c>
    </row>
    <row r="2" customFormat="false" ht="14.25" hidden="false" customHeight="true" outlineLevel="0" collapsed="false">
      <c r="A2" s="54" t="s">
        <v>298</v>
      </c>
    </row>
    <row r="4" customFormat="false" ht="14.25" hidden="false" customHeight="true" outlineLevel="0" collapsed="false">
      <c r="A4" s="24" t="s">
        <v>299</v>
      </c>
    </row>
    <row r="5" customFormat="false" ht="14.25" hidden="false" customHeight="true" outlineLevel="0" collapsed="false">
      <c r="A5" s="13" t="s">
        <v>300</v>
      </c>
      <c r="C5" s="52" t="n">
        <v>0.0675</v>
      </c>
    </row>
    <row r="6" customFormat="false" ht="14.25" hidden="false" customHeight="true" outlineLevel="0" collapsed="false">
      <c r="A6" s="13" t="s">
        <v>301</v>
      </c>
      <c r="C6" s="15" t="n">
        <v>0.5</v>
      </c>
      <c r="D6" s="1" t="s">
        <v>302</v>
      </c>
    </row>
    <row r="7" customFormat="false" ht="14.25" hidden="false" customHeight="true" outlineLevel="0" collapsed="false">
      <c r="A7" s="13" t="s">
        <v>303</v>
      </c>
      <c r="C7" s="52" t="n">
        <v>0.07</v>
      </c>
    </row>
    <row r="8" customFormat="false" ht="14.25" hidden="false" customHeight="true" outlineLevel="0" collapsed="false">
      <c r="A8" s="24" t="s">
        <v>304</v>
      </c>
      <c r="C8" s="16" t="n">
        <f aca="false">C5+C6*C7</f>
        <v>0.1025</v>
      </c>
    </row>
    <row r="10" customFormat="false" ht="14.25" hidden="false" customHeight="true" outlineLevel="0" collapsed="false">
      <c r="A10" s="24" t="s">
        <v>305</v>
      </c>
    </row>
    <row r="11" customFormat="false" ht="14.25" hidden="false" customHeight="true" outlineLevel="0" collapsed="false">
      <c r="A11" s="13" t="s">
        <v>306</v>
      </c>
      <c r="C11" s="21" t="n">
        <f aca="false">Schedules!G51</f>
        <v>0.10554070001942</v>
      </c>
      <c r="D11" s="1" t="s">
        <v>307</v>
      </c>
    </row>
    <row r="12" customFormat="false" ht="14.25" hidden="false" customHeight="true" outlineLevel="0" collapsed="false">
      <c r="A12" s="13" t="s">
        <v>276</v>
      </c>
      <c r="C12" s="16" t="n">
        <f aca="false">Assumptions!H11</f>
        <v>0.267559831599094</v>
      </c>
    </row>
    <row r="13" customFormat="false" ht="14.25" hidden="false" customHeight="true" outlineLevel="0" collapsed="false">
      <c r="A13" s="24" t="s">
        <v>308</v>
      </c>
      <c r="C13" s="16" t="n">
        <f aca="false">C11*(1-C12)</f>
        <v>0.0773022480953736</v>
      </c>
    </row>
    <row r="15" customFormat="false" ht="14.25" hidden="false" customHeight="true" outlineLevel="0" collapsed="false">
      <c r="A15" s="24" t="s">
        <v>309</v>
      </c>
    </row>
    <row r="16" customFormat="false" ht="14.25" hidden="false" customHeight="true" outlineLevel="0" collapsed="false">
      <c r="A16" s="13" t="s">
        <v>310</v>
      </c>
      <c r="C16" s="15" t="n">
        <v>5000</v>
      </c>
    </row>
    <row r="17" customFormat="false" ht="14.25" hidden="false" customHeight="true" outlineLevel="0" collapsed="false">
      <c r="A17" s="13" t="s">
        <v>311</v>
      </c>
      <c r="C17" s="21" t="n">
        <f aca="false">'Balance Sheet'!G33/2</f>
        <v>20</v>
      </c>
      <c r="D17" s="1" t="s">
        <v>312</v>
      </c>
    </row>
    <row r="18" customFormat="false" ht="14.25" hidden="false" customHeight="true" outlineLevel="0" collapsed="false">
      <c r="A18" s="13" t="s">
        <v>313</v>
      </c>
      <c r="C18" s="21" t="n">
        <f aca="false">C16*C17</f>
        <v>100000</v>
      </c>
    </row>
    <row r="19" customFormat="false" ht="14.25" hidden="false" customHeight="true" outlineLevel="0" collapsed="false">
      <c r="A19" s="13" t="s">
        <v>314</v>
      </c>
      <c r="C19" s="21" t="n">
        <f aca="false">Schedules!G48</f>
        <v>711.53</v>
      </c>
    </row>
    <row r="20" customFormat="false" ht="14.25" hidden="false" customHeight="true" outlineLevel="0" collapsed="false">
      <c r="A20" s="13" t="s">
        <v>315</v>
      </c>
      <c r="C20" s="16" t="n">
        <f aca="false">C18/(C18+C19)</f>
        <v>0.992934969809316</v>
      </c>
    </row>
    <row r="21" customFormat="false" ht="14.25" hidden="false" customHeight="true" outlineLevel="0" collapsed="false">
      <c r="A21" s="13" t="s">
        <v>316</v>
      </c>
      <c r="C21" s="16" t="n">
        <f aca="false">C19/(C18+C19)</f>
        <v>0.00706503019068422</v>
      </c>
    </row>
    <row r="23" customFormat="false" ht="14.25" hidden="false" customHeight="true" outlineLevel="0" collapsed="false">
      <c r="A23" s="24" t="s">
        <v>317</v>
      </c>
      <c r="C23" s="65" t="n">
        <f aca="false">C20*C8+C21*C13</f>
        <v>0.102321977122056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</cols>
  <sheetData>
    <row r="1" customFormat="false" ht="17.25" hidden="false" customHeight="true" outlineLevel="0" collapsed="false">
      <c r="A1" s="2" t="s">
        <v>318</v>
      </c>
    </row>
    <row r="3" customFormat="false" ht="15" hidden="false" customHeight="true" outlineLevel="0" collapsed="false">
      <c r="A3" s="32" t="s">
        <v>319</v>
      </c>
      <c r="B3" s="32" t="s">
        <v>31</v>
      </c>
      <c r="C3" s="32" t="s">
        <v>32</v>
      </c>
      <c r="D3" s="32" t="s">
        <v>33</v>
      </c>
      <c r="E3" s="32" t="s">
        <v>34</v>
      </c>
      <c r="F3" s="32" t="s">
        <v>35</v>
      </c>
    </row>
    <row r="4" customFormat="false" ht="15" hidden="false" customHeight="true" outlineLevel="0" collapsed="false">
      <c r="A4" s="1" t="s">
        <v>320</v>
      </c>
      <c r="B4" s="66" t="n">
        <f aca="false">'Revenue Model'!H19-'Revenue Model'!H7</f>
        <v>0</v>
      </c>
      <c r="C4" s="66" t="n">
        <f aca="false">'Revenue Model'!I19-'Revenue Model'!I7</f>
        <v>0</v>
      </c>
      <c r="D4" s="66" t="n">
        <f aca="false">'Revenue Model'!J19-'Revenue Model'!J7</f>
        <v>0</v>
      </c>
      <c r="E4" s="66" t="n">
        <f aca="false">'Revenue Model'!K19-'Revenue Model'!K7</f>
        <v>0</v>
      </c>
      <c r="F4" s="66" t="n">
        <f aca="false">'Revenue Model'!L19-'Revenue Model'!L7</f>
        <v>0</v>
      </c>
    </row>
    <row r="5" customFormat="false" ht="15" hidden="false" customHeight="true" outlineLevel="0" collapsed="false">
      <c r="A5" s="1" t="s">
        <v>321</v>
      </c>
      <c r="B5" s="66" t="n">
        <f aca="false">'Balance Sheet'!H57</f>
        <v>0</v>
      </c>
      <c r="C5" s="66" t="n">
        <f aca="false">'Balance Sheet'!I57</f>
        <v>0</v>
      </c>
      <c r="D5" s="66" t="n">
        <f aca="false">'Balance Sheet'!J57</f>
        <v>0</v>
      </c>
      <c r="E5" s="66" t="n">
        <f aca="false">'Balance Sheet'!K57</f>
        <v>0</v>
      </c>
      <c r="F5" s="66" t="n">
        <f aca="false">'Balance Sheet'!L57</f>
        <v>0</v>
      </c>
    </row>
    <row r="6" customFormat="false" ht="15" hidden="false" customHeight="true" outlineLevel="0" collapsed="false">
      <c r="A6" s="1" t="s">
        <v>322</v>
      </c>
      <c r="B6" s="66" t="n">
        <f aca="false">CFS!H20-'Balance Sheet'!H23</f>
        <v>0</v>
      </c>
      <c r="C6" s="66" t="n">
        <f aca="false">CFS!I20-'Balance Sheet'!I23</f>
        <v>0</v>
      </c>
      <c r="D6" s="66" t="n">
        <f aca="false">CFS!J20-'Balance Sheet'!J23</f>
        <v>0</v>
      </c>
      <c r="E6" s="66" t="n">
        <f aca="false">CFS!K20-'Balance Sheet'!K23</f>
        <v>0</v>
      </c>
      <c r="F6" s="66" t="n">
        <f aca="false">CFS!L20-'Balance Sheet'!L23</f>
        <v>0</v>
      </c>
    </row>
    <row r="7" customFormat="false" ht="15" hidden="false" customHeight="true" outlineLevel="0" collapsed="false">
      <c r="A7" s="1" t="s">
        <v>323</v>
      </c>
      <c r="B7" s="66" t="n">
        <f aca="false">FCFF!C10-(FCFF!C6+FCFF!C7+FCFF!C8+FCFF!C9)</f>
        <v>0</v>
      </c>
      <c r="C7" s="66" t="n">
        <f aca="false">FCFF!D10-(FCFF!D6+FCFF!D7+FCFF!D8+FCFF!D9)</f>
        <v>0</v>
      </c>
      <c r="D7" s="66" t="n">
        <f aca="false">FCFF!E10-(FCFF!E6+FCFF!E7+FCFF!E8+FCFF!E9)</f>
        <v>0</v>
      </c>
      <c r="E7" s="66" t="n">
        <f aca="false">FCFF!F10-(FCFF!F6+FCFF!F7+FCFF!F8+FCFF!F9)</f>
        <v>0</v>
      </c>
      <c r="F7" s="66" t="n">
        <f aca="false">FCFF!G10-(FCFF!G6+FCFF!G7+FCFF!G8+FCFF!G9)</f>
        <v>0</v>
      </c>
    </row>
    <row r="8" customFormat="false" ht="15" hidden="false" customHeight="true" outlineLevel="0" collapsed="false">
      <c r="A8" s="1" t="s">
        <v>324</v>
      </c>
      <c r="B8" s="7" t="n">
        <f aca="false">'Balance Sheet'!G57</f>
        <v>-11.5999999999985</v>
      </c>
    </row>
    <row r="9" customFormat="false" ht="15" hidden="false" customHeight="true" outlineLevel="0" collapsed="false">
      <c r="A9" s="1" t="s">
        <v>325</v>
      </c>
      <c r="B9" s="3" t="s">
        <v>326</v>
      </c>
    </row>
    <row r="10" customFormat="false" ht="27.75" hidden="false" customHeight="true" outlineLevel="0" collapsed="false">
      <c r="A10" s="1" t="s">
        <v>327</v>
      </c>
      <c r="B10" s="3" t="s">
        <v>328</v>
      </c>
    </row>
    <row r="11" customFormat="false" ht="15" hidden="false" customHeight="true" outlineLevel="0" collapsed="false">
      <c r="A11" s="1" t="s">
        <v>329</v>
      </c>
      <c r="B11" s="67" t="n">
        <f aca="false">WACC!C20+WACC!C21-1</f>
        <v>0</v>
      </c>
    </row>
    <row r="12" customFormat="false" ht="15" hidden="false" customHeight="true" outlineLevel="0" collapsed="false">
      <c r="A12" s="1" t="s">
        <v>330</v>
      </c>
      <c r="B12" s="67" t="n">
        <f aca="false">WACC!C23-FCFF!C17</f>
        <v>0.0523219771220565</v>
      </c>
    </row>
    <row r="13" customFormat="false" ht="15" hidden="false" customHeight="true" outlineLevel="0" collapsed="false">
      <c r="A13" s="1" t="s">
        <v>331</v>
      </c>
      <c r="B13" s="3" t="n">
        <f aca="false">FCFF!C25-(FCFF!C20+FCFF!C22+FCFF!C23+FCFF!C24)</f>
        <v>0</v>
      </c>
    </row>
    <row r="14" customFormat="false" ht="15" hidden="false" customHeight="true" outlineLevel="0" collapsed="false">
      <c r="A14" s="1" t="s">
        <v>332</v>
      </c>
      <c r="B14" s="3" t="n">
        <f aca="false">FCFF!C26-WACC!C17</f>
        <v>0</v>
      </c>
    </row>
    <row r="15" customFormat="false" ht="27.75" hidden="false" customHeight="true" outlineLevel="0" collapsed="false">
      <c r="A15" s="1" t="s">
        <v>333</v>
      </c>
      <c r="B15" s="3" t="s">
        <v>334</v>
      </c>
    </row>
    <row r="17" customFormat="false" ht="15" hidden="false" customHeight="false" outlineLevel="0" collapsed="false">
      <c r="A17" s="1" t="s">
        <v>335</v>
      </c>
      <c r="B17" s="7" t="n">
        <f aca="false">'Balance Sheet'!C57</f>
        <v>0</v>
      </c>
      <c r="C17" s="7" t="n">
        <f aca="false">'Balance Sheet'!D57</f>
        <v>0</v>
      </c>
      <c r="D17" s="7" t="n">
        <f aca="false">'Balance Sheet'!E57</f>
        <v>0</v>
      </c>
      <c r="E17" s="7" t="n">
        <f aca="false">'Balance Sheet'!F57</f>
        <v>-20.8999999999978</v>
      </c>
      <c r="F17" s="7" t="n">
        <f aca="false">'Balance Sheet'!G57</f>
        <v>-11.5999999999985</v>
      </c>
    </row>
    <row r="18" customFormat="false" ht="15" hidden="false" customHeight="false" outlineLevel="0" collapsed="false">
      <c r="A18" s="1" t="s">
        <v>336</v>
      </c>
      <c r="B18" s="1" t="n">
        <f aca="false">Schedules!C77-'P&amp;L'!C16</f>
        <v>0</v>
      </c>
      <c r="C18" s="1" t="n">
        <f aca="false">Schedules!D77-'P&amp;L'!D16</f>
        <v>25.5999999999999</v>
      </c>
      <c r="D18" s="1" t="n">
        <f aca="false">Schedules!E77-'P&amp;L'!E16</f>
        <v>40</v>
      </c>
      <c r="E18" s="1" t="n">
        <f aca="false">Schedules!F77-'P&amp;L'!F16</f>
        <v>0</v>
      </c>
      <c r="F18" s="1" t="n">
        <f aca="false">Schedules!G77-'P&amp;L'!G16</f>
        <v>0</v>
      </c>
    </row>
    <row r="19" customFormat="false" ht="15" hidden="false" customHeight="false" outlineLevel="0" collapsed="false">
      <c r="A19" s="1" t="s">
        <v>337</v>
      </c>
      <c r="B19" s="1" t="s">
        <v>338</v>
      </c>
    </row>
    <row r="20" customFormat="false" ht="15" hidden="false" customHeight="false" outlineLevel="0" collapsed="false">
      <c r="A20" s="1" t="s">
        <v>339</v>
      </c>
      <c r="B20" s="1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2" t="s">
        <v>341</v>
      </c>
    </row>
    <row r="2" customFormat="false" ht="15" hidden="false" customHeight="true" outlineLevel="0" collapsed="false">
      <c r="A2" s="1" t="s">
        <v>342</v>
      </c>
    </row>
    <row r="4" customFormat="false" ht="15" hidden="false" customHeight="true" outlineLevel="0" collapsed="false">
      <c r="A4" s="1" t="s">
        <v>343</v>
      </c>
      <c r="B4" s="9" t="n">
        <v>0.03</v>
      </c>
      <c r="C4" s="9" t="n">
        <v>0.04</v>
      </c>
      <c r="D4" s="9" t="n">
        <v>0.05</v>
      </c>
      <c r="E4" s="9" t="n">
        <v>0.06</v>
      </c>
    </row>
    <row r="5" customFormat="false" ht="15" hidden="false" customHeight="true" outlineLevel="0" collapsed="false">
      <c r="A5" s="6" t="n">
        <v>0.09</v>
      </c>
      <c r="B5" s="68" t="n">
        <f aca="false">(FCFF!$C$10/(1+$A5)^1+FCFF!$D$10/(1+$A5)^2+FCFF!$E$10/(1+$A5)^3+FCFF!$F$10/(1+$A5)^4+FCFF!$G$10/(1+$A5)^5+(FCFF!$G$10*(1+B$4)/($A5-B$4))/(1+$A5)^5+FCFF!$C$22+FCFF!$C$23+FCFF!$C$24)/FCFF!$C$26</f>
        <v>7944.57393255649</v>
      </c>
      <c r="C5" s="68" t="n">
        <f aca="false">(FCFF!$C$10/(1+$A5)^1+FCFF!$D$10/(1+$A5)^2+FCFF!$E$10/(1+$A5)^3+FCFF!$F$10/(1+$A5)^4+FCFF!$G$10/(1+$A5)^5+(FCFF!$G$10*(1+C$4)/($A5-C$4))/(1+$A5)^5+FCFF!$C$22+FCFF!$C$23+FCFF!$C$24)/FCFF!$C$26</f>
        <v>9188.51079250198</v>
      </c>
      <c r="D5" s="68" t="n">
        <f aca="false">(FCFF!$C$10/(1+$A5)^1+FCFF!$D$10/(1+$A5)^2+FCFF!$E$10/(1+$A5)^3+FCFF!$F$10/(1+$A5)^4+FCFF!$G$10/(1+$A5)^5+(FCFF!$G$10*(1+D$4)/($A5-D$4))/(1+$A5)^5+FCFF!$C$22+FCFF!$C$23+FCFF!$C$24)/FCFF!$C$26</f>
        <v>11054.4160824202</v>
      </c>
      <c r="E5" s="68" t="n">
        <f aca="false">(FCFF!$C$10/(1+$A5)^1+FCFF!$D$10/(1+$A5)^2+FCFF!$E$10/(1+$A5)^3+FCFF!$F$10/(1+$A5)^4+FCFF!$G$10/(1+$A5)^5+(FCFF!$G$10*(1+E$4)/($A5-E$4))/(1+$A5)^5+FCFF!$C$22+FCFF!$C$23+FCFF!$C$24)/FCFF!$C$26</f>
        <v>14164.2582322839</v>
      </c>
    </row>
    <row r="6" customFormat="false" ht="15" hidden="false" customHeight="true" outlineLevel="0" collapsed="false">
      <c r="A6" s="6" t="n">
        <v>0.1</v>
      </c>
      <c r="B6" s="68" t="n">
        <f aca="false">(FCFF!$C$10/(1+$A6)^1+FCFF!$D$10/(1+$A6)^2+FCFF!$E$10/(1+$A6)^3+FCFF!$F$10/(1+$A6)^4+FCFF!$G$10/(1+$A6)^5+(FCFF!$G$10*(1+B$4)/($A6-B$4))/(1+$A6)^5+FCFF!$C$22+FCFF!$C$23+FCFF!$C$24)/FCFF!$C$26</f>
        <v>6840.76932650783</v>
      </c>
      <c r="C6" s="68" t="n">
        <f aca="false">(FCFF!$C$10/(1+$A6)^1+FCFF!$D$10/(1+$A6)^2+FCFF!$E$10/(1+$A6)^3+FCFF!$F$10/(1+$A6)^4+FCFF!$G$10/(1+$A6)^5+(FCFF!$G$10*(1+C$4)/($A6-C$4))/(1+$A6)^5+FCFF!$C$22+FCFF!$C$23+FCFF!$C$24)/FCFF!$C$26</f>
        <v>7697.42353411474</v>
      </c>
      <c r="D6" s="68" t="n">
        <f aca="false">(FCFF!$C$10/(1+$A6)^1+FCFF!$D$10/(1+$A6)^2+FCFF!$E$10/(1+$A6)^3+FCFF!$F$10/(1+$A6)^4+FCFF!$G$10/(1+$A6)^5+(FCFF!$G$10*(1+D$4)/($A6-D$4))/(1+$A6)^5+FCFF!$C$22+FCFF!$C$23+FCFF!$C$24)/FCFF!$C$26</f>
        <v>8896.73942476442</v>
      </c>
      <c r="E6" s="68" t="n">
        <f aca="false">(FCFF!$C$10/(1+$A6)^1+FCFF!$D$10/(1+$A6)^2+FCFF!$E$10/(1+$A6)^3+FCFF!$F$10/(1+$A6)^4+FCFF!$G$10/(1+$A6)^5+(FCFF!$G$10*(1+E$4)/($A6-E$4))/(1+$A6)^5+FCFF!$C$22+FCFF!$C$23+FCFF!$C$24)/FCFF!$C$26</f>
        <v>10695.7132607389</v>
      </c>
    </row>
    <row r="7" customFormat="false" ht="15" hidden="false" customHeight="true" outlineLevel="0" collapsed="false">
      <c r="A7" s="6" t="n">
        <v>0.102321977122056</v>
      </c>
      <c r="B7" s="68" t="n">
        <f aca="false">(FCFF!$C$10/(1+$A7)^1+FCFF!$D$10/(1+$A7)^2+FCFF!$E$10/(1+$A7)^3+FCFF!$F$10/(1+$A7)^4+FCFF!$G$10/(1+$A7)^5+(FCFF!$G$10*(1+B$4)/($A7-B$4))/(1+$A7)^5+FCFF!$C$22+FCFF!$C$23+FCFF!$C$24)/FCFF!$C$26</f>
        <v>6628.50545406202</v>
      </c>
      <c r="C7" s="68" t="n">
        <f aca="false">(FCFF!$C$10/(1+$A7)^1+FCFF!$D$10/(1+$A7)^2+FCFF!$E$10/(1+$A7)^3+FCFF!$F$10/(1+$A7)^4+FCFF!$G$10/(1+$A7)^5+(FCFF!$G$10*(1+C$4)/($A7-C$4))/(1+$A7)^5+FCFF!$C$22+FCFF!$C$23+FCFF!$C$24)/FCFF!$C$26</f>
        <v>7420.0588313033</v>
      </c>
      <c r="D7" s="68" t="n">
        <f aca="false">(FCFF!$C$10/(1+$A7)^1+FCFF!$D$10/(1+$A7)^2+FCFF!$E$10/(1+$A7)^3+FCFF!$F$10/(1+$A7)^4+FCFF!$G$10/(1+$A7)^5+(FCFF!$G$10*(1+D$4)/($A7-D$4))/(1+$A7)^5+FCFF!$C$22+FCFF!$C$23+FCFF!$C$24)/FCFF!$C$26</f>
        <v>8514.18234093646</v>
      </c>
      <c r="E7" s="68" t="n">
        <f aca="false">(FCFF!$C$10/(1+$A7)^1+FCFF!$D$10/(1+$A7)^2+FCFF!$E$10/(1+$A7)^3+FCFF!$F$10/(1+$A7)^4+FCFF!$G$10/(1+$A7)^5+(FCFF!$G$10*(1+E$4)/($A7-E$4))/(1+$A7)^5+FCFF!$C$22+FCFF!$C$23+FCFF!$C$24)/FCFF!$C$26</f>
        <v>10125.353296854</v>
      </c>
    </row>
    <row r="8" customFormat="false" ht="15" hidden="false" customHeight="true" outlineLevel="0" collapsed="false">
      <c r="A8" s="6" t="n">
        <v>0.11</v>
      </c>
      <c r="B8" s="68" t="n">
        <f aca="false">(FCFF!$C$10/(1+$A8)^1+FCFF!$D$10/(1+$A8)^2+FCFF!$E$10/(1+$A8)^3+FCFF!$F$10/(1+$A8)^4+FCFF!$G$10/(1+$A8)^5+(FCFF!$G$10*(1+B$4)/($A8-B$4))/(1+$A8)^5+FCFF!$C$22+FCFF!$C$23+FCFF!$C$24)/FCFF!$C$26</f>
        <v>6015.22111268223</v>
      </c>
      <c r="C8" s="68" t="n">
        <f aca="false">(FCFF!$C$10/(1+$A8)^1+FCFF!$D$10/(1+$A8)^2+FCFF!$E$10/(1+$A8)^3+FCFF!$F$10/(1+$A8)^4+FCFF!$G$10/(1+$A8)^5+(FCFF!$G$10*(1+C$4)/($A8-C$4))/(1+$A8)^5+FCFF!$C$22+FCFF!$C$23+FCFF!$C$24)/FCFF!$C$26</f>
        <v>6634.86995296095</v>
      </c>
      <c r="D8" s="68" t="n">
        <f aca="false">(FCFF!$C$10/(1+$A8)^1+FCFF!$D$10/(1+$A8)^2+FCFF!$E$10/(1+$A8)^3+FCFF!$F$10/(1+$A8)^4+FCFF!$G$10/(1+$A8)^5+(FCFF!$G$10*(1+D$4)/($A8-D$4))/(1+$A8)^5+FCFF!$C$22+FCFF!$C$23+FCFF!$C$24)/FCFF!$C$26</f>
        <v>7461.06840666593</v>
      </c>
      <c r="E8" s="68" t="n">
        <f aca="false">(FCFF!$C$10/(1+$A8)^1+FCFF!$D$10/(1+$A8)^2+FCFF!$E$10/(1+$A8)^3+FCFF!$F$10/(1+$A8)^4+FCFF!$G$10/(1+$A8)^5+(FCFF!$G$10*(1+E$4)/($A8-E$4))/(1+$A8)^5+FCFF!$C$22+FCFF!$C$23+FCFF!$C$24)/FCFF!$C$26</f>
        <v>8617.74624185289</v>
      </c>
    </row>
    <row r="9" customFormat="false" ht="15" hidden="false" customHeight="true" outlineLevel="0" collapsed="false">
      <c r="A9" s="6" t="n">
        <v>0.12</v>
      </c>
      <c r="B9" s="68" t="n">
        <f aca="false">(FCFF!$C$10/(1+$A9)^1+FCFF!$D$10/(1+$A9)^2+FCFF!$E$10/(1+$A9)^3+FCFF!$F$10/(1+$A9)^4+FCFF!$G$10/(1+$A9)^5+(FCFF!$G$10*(1+B$4)/($A9-B$4))/(1+$A9)^5+FCFF!$C$22+FCFF!$C$23+FCFF!$C$24)/FCFF!$C$26</f>
        <v>5375.07988033589</v>
      </c>
      <c r="C9" s="68" t="n">
        <f aca="false">(FCFF!$C$10/(1+$A9)^1+FCFF!$D$10/(1+$A9)^2+FCFF!$E$10/(1+$A9)^3+FCFF!$F$10/(1+$A9)^4+FCFF!$G$10/(1+$A9)^5+(FCFF!$G$10*(1+C$4)/($A9-C$4))/(1+$A9)^5+FCFF!$C$22+FCFF!$C$23+FCFF!$C$24)/FCFF!$C$26</f>
        <v>5840.04566556255</v>
      </c>
      <c r="D9" s="68" t="n">
        <f aca="false">(FCFF!$C$10/(1+$A9)^1+FCFF!$D$10/(1+$A9)^2+FCFF!$E$10/(1+$A9)^3+FCFF!$F$10/(1+$A9)^4+FCFF!$G$10/(1+$A9)^5+(FCFF!$G$10*(1+D$4)/($A9-D$4))/(1+$A9)^5+FCFF!$C$22+FCFF!$C$23+FCFF!$C$24)/FCFF!$C$26</f>
        <v>6437.85881799682</v>
      </c>
      <c r="E9" s="68" t="n">
        <f aca="false">(FCFF!$C$10/(1+$A9)^1+FCFF!$D$10/(1+$A9)^2+FCFF!$E$10/(1+$A9)^3+FCFF!$F$10/(1+$A9)^4+FCFF!$G$10/(1+$A9)^5+(FCFF!$G$10*(1+E$4)/($A9-E$4))/(1+$A9)^5+FCFF!$C$22+FCFF!$C$23+FCFF!$C$24)/FCFF!$C$26</f>
        <v>7234.94302124251</v>
      </c>
    </row>
    <row r="12" customFormat="false" ht="15" hidden="false" customHeight="true" outlineLevel="0" collapsed="false">
      <c r="A12" s="1" t="s">
        <v>344</v>
      </c>
      <c r="B12" s="6" t="n">
        <f aca="false">WACC!C23</f>
        <v>0.102321977122056</v>
      </c>
    </row>
    <row r="13" customFormat="false" ht="15" hidden="false" customHeight="true" outlineLevel="0" collapsed="false">
      <c r="A13" s="1" t="s">
        <v>345</v>
      </c>
      <c r="B13" s="6" t="n">
        <f aca="false">FCFF!C17</f>
        <v>0.05</v>
      </c>
    </row>
    <row r="14" customFormat="false" ht="15" hidden="false" customHeight="true" outlineLevel="0" collapsed="false">
      <c r="A14" s="1" t="s">
        <v>15</v>
      </c>
      <c r="B14" s="9" t="n">
        <f aca="false">FCFF!C19/FCFF!C20</f>
        <v>0.832513459155367</v>
      </c>
    </row>
    <row r="16" customFormat="false" ht="108.75" hidden="false" customHeight="true" outlineLevel="0" collapsed="false">
      <c r="A16" s="1" t="s">
        <v>346</v>
      </c>
      <c r="B16" s="3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2026-07-11T09:07:01Z</dcterms:created>
  <dc:creator>openpyxl</dc:creator>
  <dc:description/>
  <dc:language>en-US</dc:language>
  <cp:lastModifiedBy>AYUSH KOURAV</cp:lastModifiedBy>
  <dcterms:modified xsi:type="dcterms:W3CDTF">2026-09-23T18:32:44Z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